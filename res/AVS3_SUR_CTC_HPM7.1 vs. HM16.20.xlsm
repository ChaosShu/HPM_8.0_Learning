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00355679\Desktop\"/>
    </mc:Choice>
  </mc:AlternateContent>
  <bookViews>
    <workbookView xWindow="0" yWindow="0" windowWidth="28215" windowHeight="13500" tabRatio="884"/>
  </bookViews>
  <sheets>
    <sheet name="Summary_SEQ" sheetId="30" r:id="rId1"/>
    <sheet name="Plot" sheetId="10" r:id="rId2"/>
    <sheet name="IPPP" sheetId="27" r:id="rId3"/>
    <sheet name="IPPPCRR" sheetId="31" r:id="rId4"/>
    <sheet name="Reference" sheetId="17" r:id="rId5"/>
    <sheet name="Test" sheetId="18" r:id="rId6"/>
  </sheets>
  <functionGroups builtInGroupCount="18"/>
  <definedNames>
    <definedName name="_xlnm._FilterDatabase" localSheetId="1" hidden="1">Plot!$A$1:$B$2</definedName>
  </definedNames>
  <calcPr calcId="152511"/>
</workbook>
</file>

<file path=xl/calcChain.xml><?xml version="1.0" encoding="utf-8"?>
<calcChain xmlns="http://schemas.openxmlformats.org/spreadsheetml/2006/main">
  <c r="B31" i="30" l="1"/>
  <c r="B30" i="30"/>
  <c r="B29" i="30"/>
  <c r="B28" i="30"/>
  <c r="B27" i="30"/>
  <c r="B26" i="30"/>
  <c r="B25" i="30"/>
  <c r="B24" i="30"/>
  <c r="B23" i="30"/>
  <c r="B22" i="30"/>
  <c r="B21" i="30"/>
  <c r="C20" i="30"/>
  <c r="L4" i="31"/>
  <c r="M4" i="31"/>
  <c r="N4" i="31"/>
  <c r="O4" i="31"/>
  <c r="P4" i="31"/>
  <c r="Q4" i="31"/>
  <c r="R4" i="31"/>
  <c r="L5" i="31"/>
  <c r="U5" i="31" s="1"/>
  <c r="M5" i="31"/>
  <c r="N5" i="31"/>
  <c r="O5" i="31"/>
  <c r="P5" i="31"/>
  <c r="S5" i="31" s="1"/>
  <c r="Q5" i="31"/>
  <c r="R5" i="31"/>
  <c r="L6" i="31"/>
  <c r="M6" i="31"/>
  <c r="N6" i="31"/>
  <c r="O6" i="31"/>
  <c r="P6" i="31"/>
  <c r="Q6" i="31"/>
  <c r="T6" i="31" s="1"/>
  <c r="R6" i="31"/>
  <c r="L7" i="31"/>
  <c r="M7" i="31"/>
  <c r="N7" i="31"/>
  <c r="O7" i="31"/>
  <c r="P7" i="31"/>
  <c r="Q7" i="31"/>
  <c r="R7" i="31"/>
  <c r="L8" i="31"/>
  <c r="M8" i="31"/>
  <c r="N8" i="31"/>
  <c r="O8" i="31"/>
  <c r="P8" i="31"/>
  <c r="S8" i="31" s="1"/>
  <c r="Q8" i="31"/>
  <c r="T8" i="31" s="1"/>
  <c r="R8" i="31"/>
  <c r="L9" i="31"/>
  <c r="M9" i="31"/>
  <c r="N9" i="31"/>
  <c r="O9" i="31"/>
  <c r="P9" i="31"/>
  <c r="S9" i="31" s="1"/>
  <c r="Q9" i="31"/>
  <c r="R9" i="31"/>
  <c r="L10" i="31"/>
  <c r="U10" i="31" s="1"/>
  <c r="M10" i="31"/>
  <c r="N10" i="31"/>
  <c r="O10" i="31"/>
  <c r="P10" i="31"/>
  <c r="S10" i="31" s="1"/>
  <c r="Q10" i="31"/>
  <c r="T10" i="31" s="1"/>
  <c r="R10" i="31"/>
  <c r="L11" i="31"/>
  <c r="M11" i="31"/>
  <c r="N11" i="31"/>
  <c r="O11" i="31"/>
  <c r="P11" i="31"/>
  <c r="Q11" i="31"/>
  <c r="R11" i="31"/>
  <c r="L12" i="31"/>
  <c r="M12" i="31"/>
  <c r="N12" i="31"/>
  <c r="O12" i="31"/>
  <c r="P12" i="31"/>
  <c r="Q12" i="31"/>
  <c r="T12" i="31" s="1"/>
  <c r="R12" i="31"/>
  <c r="L13" i="31"/>
  <c r="M13" i="31"/>
  <c r="N13" i="31"/>
  <c r="O13" i="31"/>
  <c r="P13" i="31"/>
  <c r="Q13" i="31"/>
  <c r="T13" i="31" s="1"/>
  <c r="R13" i="31"/>
  <c r="L14" i="31"/>
  <c r="U14" i="31" s="1"/>
  <c r="M14" i="31"/>
  <c r="N14" i="31"/>
  <c r="O14" i="31"/>
  <c r="P14" i="31"/>
  <c r="Q14" i="31"/>
  <c r="R14" i="31"/>
  <c r="L15" i="31"/>
  <c r="M15" i="31"/>
  <c r="N15" i="31"/>
  <c r="O15" i="31"/>
  <c r="P15" i="31"/>
  <c r="Q15" i="31"/>
  <c r="R15" i="31"/>
  <c r="L16" i="31"/>
  <c r="M16" i="31"/>
  <c r="N16" i="31"/>
  <c r="O16" i="31"/>
  <c r="P16" i="31"/>
  <c r="Q16" i="31"/>
  <c r="R16" i="31"/>
  <c r="L17" i="31"/>
  <c r="M17" i="31"/>
  <c r="N17" i="31"/>
  <c r="O17" i="31"/>
  <c r="P17" i="31"/>
  <c r="S17" i="31" s="1"/>
  <c r="Q17" i="31"/>
  <c r="R17" i="31"/>
  <c r="L18" i="31"/>
  <c r="M18" i="31"/>
  <c r="N18" i="31"/>
  <c r="O18" i="31"/>
  <c r="P18" i="31"/>
  <c r="S18" i="31" s="1"/>
  <c r="Q18" i="31"/>
  <c r="R18" i="31"/>
  <c r="L19" i="31"/>
  <c r="M19" i="31"/>
  <c r="N19" i="31"/>
  <c r="O19" i="31"/>
  <c r="P19" i="31"/>
  <c r="Q19" i="31"/>
  <c r="T19" i="31" s="1"/>
  <c r="R19" i="31"/>
  <c r="L20" i="31"/>
  <c r="M20" i="31"/>
  <c r="N20" i="31"/>
  <c r="O20" i="31"/>
  <c r="P20" i="31"/>
  <c r="Q20" i="31"/>
  <c r="R20" i="31"/>
  <c r="L21" i="31"/>
  <c r="U21" i="31" s="1"/>
  <c r="M21" i="31"/>
  <c r="N21" i="31"/>
  <c r="O21" i="31"/>
  <c r="P21" i="31"/>
  <c r="Q21" i="31"/>
  <c r="R21" i="31"/>
  <c r="L22" i="31"/>
  <c r="M22" i="31"/>
  <c r="N22" i="31"/>
  <c r="O22" i="31"/>
  <c r="P22" i="31"/>
  <c r="Q22" i="31"/>
  <c r="R22" i="31"/>
  <c r="L23" i="31"/>
  <c r="M23" i="31"/>
  <c r="N23" i="31"/>
  <c r="O23" i="31"/>
  <c r="P23" i="31"/>
  <c r="Q23" i="31"/>
  <c r="R23" i="31"/>
  <c r="L24" i="31"/>
  <c r="M24" i="31"/>
  <c r="N24" i="31"/>
  <c r="O24" i="31"/>
  <c r="P24" i="31"/>
  <c r="Q24" i="31"/>
  <c r="R24" i="31"/>
  <c r="L25" i="31"/>
  <c r="M25" i="31"/>
  <c r="N25" i="31"/>
  <c r="O25" i="31"/>
  <c r="P25" i="31"/>
  <c r="Q25" i="31"/>
  <c r="R25" i="31"/>
  <c r="L26" i="31"/>
  <c r="M26" i="31"/>
  <c r="N26" i="31"/>
  <c r="O26" i="31"/>
  <c r="P26" i="31"/>
  <c r="Q26" i="31"/>
  <c r="T26" i="31" s="1"/>
  <c r="R26" i="31"/>
  <c r="L27" i="31"/>
  <c r="M27" i="31"/>
  <c r="N27" i="31"/>
  <c r="O27" i="31"/>
  <c r="P27" i="31"/>
  <c r="S27" i="31" s="1"/>
  <c r="Q27" i="31"/>
  <c r="R27" i="31"/>
  <c r="L28" i="31"/>
  <c r="M28" i="31"/>
  <c r="N28" i="31"/>
  <c r="O28" i="31"/>
  <c r="P28" i="31"/>
  <c r="Q28" i="31"/>
  <c r="R28" i="31"/>
  <c r="L29" i="31"/>
  <c r="M29" i="31"/>
  <c r="N29" i="31"/>
  <c r="O29" i="31"/>
  <c r="P29" i="31"/>
  <c r="Q29" i="31"/>
  <c r="R29" i="31"/>
  <c r="L30" i="31"/>
  <c r="M30" i="31"/>
  <c r="N30" i="31"/>
  <c r="O30" i="31"/>
  <c r="P30" i="31"/>
  <c r="Q30" i="31"/>
  <c r="T30" i="31" s="1"/>
  <c r="R30" i="31"/>
  <c r="L31" i="31"/>
  <c r="M31" i="31"/>
  <c r="N31" i="31"/>
  <c r="O31" i="31"/>
  <c r="P31" i="31"/>
  <c r="Q31" i="31"/>
  <c r="R31" i="31"/>
  <c r="L32" i="31"/>
  <c r="M32" i="31"/>
  <c r="N32" i="31"/>
  <c r="O32" i="31"/>
  <c r="P32" i="31"/>
  <c r="Q32" i="31"/>
  <c r="R32" i="31"/>
  <c r="L33" i="31"/>
  <c r="M33" i="31"/>
  <c r="N33" i="31"/>
  <c r="O33" i="31"/>
  <c r="P33" i="31"/>
  <c r="S33" i="31" s="1"/>
  <c r="Q33" i="31"/>
  <c r="R33" i="31"/>
  <c r="L34" i="31"/>
  <c r="M34" i="31"/>
  <c r="N34" i="31"/>
  <c r="O34" i="31"/>
  <c r="P34" i="31"/>
  <c r="Q34" i="31"/>
  <c r="R34" i="31"/>
  <c r="L35" i="31"/>
  <c r="U35" i="31" s="1"/>
  <c r="M35" i="31"/>
  <c r="N35" i="31"/>
  <c r="O35" i="31"/>
  <c r="P35" i="31"/>
  <c r="S35" i="31" s="1"/>
  <c r="Q35" i="31"/>
  <c r="R35" i="31"/>
  <c r="L36" i="31"/>
  <c r="U36" i="31" s="1"/>
  <c r="M36" i="31"/>
  <c r="N36" i="31"/>
  <c r="O36" i="31"/>
  <c r="P36" i="31"/>
  <c r="Q36" i="31"/>
  <c r="R36" i="31"/>
  <c r="L37" i="31"/>
  <c r="M37" i="31"/>
  <c r="N37" i="31"/>
  <c r="O37" i="31"/>
  <c r="P37" i="31"/>
  <c r="Q37" i="31"/>
  <c r="R37" i="31"/>
  <c r="L38" i="31"/>
  <c r="U38" i="31" s="1"/>
  <c r="M38" i="31"/>
  <c r="N38" i="31"/>
  <c r="O38" i="31"/>
  <c r="P38" i="31"/>
  <c r="Q38" i="31"/>
  <c r="T38" i="31" s="1"/>
  <c r="R38" i="31"/>
  <c r="L39" i="31"/>
  <c r="M39" i="31"/>
  <c r="N39" i="31"/>
  <c r="O39" i="31"/>
  <c r="P39" i="31"/>
  <c r="S39" i="31" s="1"/>
  <c r="Q39" i="31"/>
  <c r="R39" i="31"/>
  <c r="L40" i="31"/>
  <c r="M40" i="31"/>
  <c r="N40" i="31"/>
  <c r="O40" i="31"/>
  <c r="P40" i="31"/>
  <c r="Q40" i="31"/>
  <c r="R40" i="31"/>
  <c r="L41" i="31"/>
  <c r="M41" i="31"/>
  <c r="N41" i="31"/>
  <c r="O41" i="31"/>
  <c r="P41" i="31"/>
  <c r="S41" i="31" s="1"/>
  <c r="Q41" i="31"/>
  <c r="R41" i="31"/>
  <c r="L42" i="31"/>
  <c r="M42" i="31"/>
  <c r="N42" i="31"/>
  <c r="O42" i="31"/>
  <c r="P42" i="31"/>
  <c r="S42" i="31" s="1"/>
  <c r="Q42" i="31"/>
  <c r="R42" i="31"/>
  <c r="M3" i="31"/>
  <c r="N3" i="31"/>
  <c r="O3" i="31"/>
  <c r="P3" i="31"/>
  <c r="Q3" i="31"/>
  <c r="R3" i="31"/>
  <c r="L3" i="31"/>
  <c r="D4" i="31"/>
  <c r="E4" i="31"/>
  <c r="F4" i="31"/>
  <c r="G4" i="31"/>
  <c r="H4" i="31"/>
  <c r="I4" i="31"/>
  <c r="J4" i="31"/>
  <c r="D5" i="31"/>
  <c r="E5" i="31"/>
  <c r="F5" i="31"/>
  <c r="G5" i="31"/>
  <c r="H5" i="31"/>
  <c r="I5" i="31"/>
  <c r="T5" i="31" s="1"/>
  <c r="J5" i="31"/>
  <c r="D6" i="31"/>
  <c r="E6" i="31"/>
  <c r="F6" i="31"/>
  <c r="G6" i="31"/>
  <c r="H6" i="31"/>
  <c r="I6" i="31"/>
  <c r="J6" i="31"/>
  <c r="D7" i="31"/>
  <c r="E7" i="31"/>
  <c r="F7" i="31"/>
  <c r="G7" i="31"/>
  <c r="H7" i="31"/>
  <c r="S7" i="31" s="1"/>
  <c r="I7" i="31"/>
  <c r="J7" i="31"/>
  <c r="D8" i="31"/>
  <c r="E8" i="31"/>
  <c r="F8" i="31"/>
  <c r="G8" i="31"/>
  <c r="H8" i="31"/>
  <c r="I8" i="31"/>
  <c r="J8" i="31"/>
  <c r="D9" i="31"/>
  <c r="E9" i="31"/>
  <c r="F9" i="31"/>
  <c r="G9" i="31"/>
  <c r="H9" i="31"/>
  <c r="I9" i="31"/>
  <c r="J9" i="31"/>
  <c r="D10" i="31"/>
  <c r="E10" i="31"/>
  <c r="F10" i="31"/>
  <c r="G10" i="31"/>
  <c r="H10" i="31"/>
  <c r="I10" i="31"/>
  <c r="J10" i="31"/>
  <c r="D11" i="31"/>
  <c r="E11" i="31"/>
  <c r="F11" i="31"/>
  <c r="G11" i="31"/>
  <c r="H11" i="31"/>
  <c r="I11" i="31"/>
  <c r="T11" i="31" s="1"/>
  <c r="J11" i="31"/>
  <c r="D12" i="31"/>
  <c r="U12" i="31" s="1"/>
  <c r="E12" i="31"/>
  <c r="F12" i="31"/>
  <c r="G12" i="31"/>
  <c r="H12" i="31"/>
  <c r="I12" i="31"/>
  <c r="J12" i="31"/>
  <c r="D13" i="31"/>
  <c r="E13" i="31"/>
  <c r="F13" i="31"/>
  <c r="G13" i="31"/>
  <c r="H13" i="31"/>
  <c r="I13" i="31"/>
  <c r="J13" i="31"/>
  <c r="D14" i="31"/>
  <c r="E14" i="31"/>
  <c r="F14" i="31"/>
  <c r="G14" i="31"/>
  <c r="H14" i="31"/>
  <c r="I14" i="31"/>
  <c r="J14" i="31"/>
  <c r="D15" i="31"/>
  <c r="E15" i="31"/>
  <c r="F15" i="31"/>
  <c r="G15" i="31"/>
  <c r="H15" i="31"/>
  <c r="I15" i="31"/>
  <c r="J15" i="31"/>
  <c r="D16" i="31"/>
  <c r="U16" i="31" s="1"/>
  <c r="E16" i="31"/>
  <c r="F16" i="31"/>
  <c r="G16" i="31"/>
  <c r="H16" i="31"/>
  <c r="I16" i="31"/>
  <c r="T16" i="31" s="1"/>
  <c r="J16" i="31"/>
  <c r="D17" i="31"/>
  <c r="E17" i="31"/>
  <c r="F17" i="31"/>
  <c r="G17" i="31"/>
  <c r="H17" i="31"/>
  <c r="I17" i="31"/>
  <c r="J17" i="31"/>
  <c r="D18" i="31"/>
  <c r="E18" i="31"/>
  <c r="F18" i="31"/>
  <c r="G18" i="31"/>
  <c r="H18" i="31"/>
  <c r="I18" i="31"/>
  <c r="J18" i="31"/>
  <c r="D19" i="31"/>
  <c r="E19" i="31"/>
  <c r="F19" i="31"/>
  <c r="G19" i="31"/>
  <c r="H19" i="31"/>
  <c r="S19" i="31"/>
  <c r="I19" i="31"/>
  <c r="J19" i="31"/>
  <c r="D20" i="31"/>
  <c r="E20" i="31"/>
  <c r="F20" i="31"/>
  <c r="G20" i="31"/>
  <c r="H20" i="31"/>
  <c r="I20" i="31"/>
  <c r="T20" i="31" s="1"/>
  <c r="J20" i="31"/>
  <c r="D21" i="31"/>
  <c r="E21" i="31"/>
  <c r="F21" i="31"/>
  <c r="G21" i="31"/>
  <c r="H21" i="31"/>
  <c r="I21" i="31"/>
  <c r="J21" i="31"/>
  <c r="D22" i="31"/>
  <c r="E22" i="31"/>
  <c r="F22" i="31"/>
  <c r="G22" i="31"/>
  <c r="H22" i="31"/>
  <c r="I22" i="31"/>
  <c r="J22" i="31"/>
  <c r="D23" i="31"/>
  <c r="E23" i="31"/>
  <c r="F23" i="31"/>
  <c r="G23" i="31"/>
  <c r="H23" i="31"/>
  <c r="S23" i="31" s="1"/>
  <c r="I23" i="31"/>
  <c r="J23" i="31"/>
  <c r="D24" i="31"/>
  <c r="U24" i="31" s="1"/>
  <c r="E24" i="31"/>
  <c r="F24" i="31"/>
  <c r="G24" i="31"/>
  <c r="H24" i="31"/>
  <c r="I24" i="31"/>
  <c r="J24" i="31"/>
  <c r="D25" i="31"/>
  <c r="E25" i="31"/>
  <c r="F25" i="31"/>
  <c r="G25" i="31"/>
  <c r="H25" i="31"/>
  <c r="S25" i="31" s="1"/>
  <c r="I25" i="31"/>
  <c r="T25" i="31" s="1"/>
  <c r="J25" i="31"/>
  <c r="D26" i="31"/>
  <c r="E26" i="31"/>
  <c r="F26" i="31"/>
  <c r="G26" i="31"/>
  <c r="H26" i="31"/>
  <c r="I26" i="31"/>
  <c r="J26" i="31"/>
  <c r="D27" i="31"/>
  <c r="E27" i="31"/>
  <c r="F27" i="31"/>
  <c r="G27" i="31"/>
  <c r="H27" i="31"/>
  <c r="I27" i="31"/>
  <c r="J27" i="31"/>
  <c r="D28" i="31"/>
  <c r="E28" i="31"/>
  <c r="F28" i="31"/>
  <c r="G28" i="31"/>
  <c r="H28" i="31"/>
  <c r="S28" i="31" s="1"/>
  <c r="I28" i="31"/>
  <c r="J28" i="31"/>
  <c r="D29" i="31"/>
  <c r="E29" i="31"/>
  <c r="F29" i="31"/>
  <c r="G29" i="31"/>
  <c r="H29" i="31"/>
  <c r="I29" i="31"/>
  <c r="T29" i="31" s="1"/>
  <c r="J29" i="31"/>
  <c r="D30" i="31"/>
  <c r="E30" i="31"/>
  <c r="F30" i="31"/>
  <c r="G30" i="31"/>
  <c r="H30" i="31"/>
  <c r="I30" i="31"/>
  <c r="J30" i="31"/>
  <c r="D31" i="31"/>
  <c r="E31" i="31"/>
  <c r="F31" i="31"/>
  <c r="G31" i="31"/>
  <c r="H31" i="31"/>
  <c r="I31" i="31"/>
  <c r="J31" i="31"/>
  <c r="D32" i="31"/>
  <c r="E32" i="31"/>
  <c r="F32" i="31"/>
  <c r="G32" i="31"/>
  <c r="H32" i="31"/>
  <c r="I32" i="31"/>
  <c r="T32" i="31" s="1"/>
  <c r="J32" i="31"/>
  <c r="D33" i="31"/>
  <c r="U33" i="31" s="1"/>
  <c r="E33" i="31"/>
  <c r="F33" i="31"/>
  <c r="G33" i="31"/>
  <c r="H33" i="31"/>
  <c r="I33" i="31"/>
  <c r="J33" i="31"/>
  <c r="D34" i="31"/>
  <c r="E34" i="31"/>
  <c r="F34" i="31"/>
  <c r="G34" i="31"/>
  <c r="H34" i="31"/>
  <c r="S34" i="31" s="1"/>
  <c r="I34" i="31"/>
  <c r="T34" i="31" s="1"/>
  <c r="J34" i="31"/>
  <c r="D35" i="31"/>
  <c r="E35" i="31"/>
  <c r="F35" i="31"/>
  <c r="G35" i="31"/>
  <c r="H35" i="31"/>
  <c r="I35" i="31"/>
  <c r="J35" i="31"/>
  <c r="D36" i="31"/>
  <c r="E36" i="31"/>
  <c r="F36" i="31"/>
  <c r="G36" i="31"/>
  <c r="H36" i="31"/>
  <c r="I36" i="31"/>
  <c r="J36" i="31"/>
  <c r="D37" i="31"/>
  <c r="E37" i="31"/>
  <c r="F37" i="31"/>
  <c r="G37" i="31"/>
  <c r="H37" i="31"/>
  <c r="S37" i="31" s="1"/>
  <c r="I37" i="31"/>
  <c r="J37" i="31"/>
  <c r="D38" i="31"/>
  <c r="E38" i="31"/>
  <c r="F38" i="31"/>
  <c r="G38" i="31"/>
  <c r="H38" i="31"/>
  <c r="I38" i="31"/>
  <c r="J38" i="31"/>
  <c r="D39" i="31"/>
  <c r="U39" i="31" s="1"/>
  <c r="E39" i="31"/>
  <c r="F39" i="31"/>
  <c r="G39" i="31"/>
  <c r="H39" i="31"/>
  <c r="I39" i="31"/>
  <c r="J39" i="31"/>
  <c r="D40" i="31"/>
  <c r="E40" i="31"/>
  <c r="F40" i="31"/>
  <c r="G40" i="31"/>
  <c r="H40" i="31"/>
  <c r="I40" i="31"/>
  <c r="J40" i="31"/>
  <c r="D41" i="31"/>
  <c r="E41" i="31"/>
  <c r="F41" i="31"/>
  <c r="G41" i="31"/>
  <c r="H41" i="31"/>
  <c r="I41" i="31"/>
  <c r="J41" i="31"/>
  <c r="D42" i="31"/>
  <c r="E42" i="31"/>
  <c r="F42" i="31"/>
  <c r="G42" i="31"/>
  <c r="H42" i="31"/>
  <c r="I42" i="31"/>
  <c r="J42" i="31"/>
  <c r="E3" i="31"/>
  <c r="F3" i="31"/>
  <c r="G3" i="31"/>
  <c r="H3" i="31"/>
  <c r="I3" i="31"/>
  <c r="I43" i="31" s="1"/>
  <c r="J3" i="31"/>
  <c r="D3" i="31"/>
  <c r="S3" i="31"/>
  <c r="U3" i="31"/>
  <c r="S20" i="31"/>
  <c r="S11" i="31"/>
  <c r="U30" i="31"/>
  <c r="U7" i="31"/>
  <c r="U17" i="31"/>
  <c r="J46" i="31"/>
  <c r="R45" i="31"/>
  <c r="J44" i="31"/>
  <c r="J43" i="31"/>
  <c r="S16" i="31"/>
  <c r="B4" i="30"/>
  <c r="C3" i="30"/>
  <c r="AC3" i="10"/>
  <c r="E19" i="27"/>
  <c r="AC4" i="10"/>
  <c r="E20" i="27"/>
  <c r="AC5" i="10"/>
  <c r="E21" i="27"/>
  <c r="AC6" i="10"/>
  <c r="E22" i="27"/>
  <c r="M19" i="27"/>
  <c r="M20" i="27"/>
  <c r="M21" i="27"/>
  <c r="M22" i="27"/>
  <c r="F19" i="27"/>
  <c r="F20" i="27"/>
  <c r="F21" i="27"/>
  <c r="F22" i="27"/>
  <c r="N19" i="27"/>
  <c r="N20" i="27"/>
  <c r="N21" i="27"/>
  <c r="N22" i="27"/>
  <c r="G19" i="27"/>
  <c r="G20" i="27"/>
  <c r="G21" i="27"/>
  <c r="G22" i="27"/>
  <c r="O19" i="27"/>
  <c r="O20" i="27"/>
  <c r="O21" i="27"/>
  <c r="O22" i="27"/>
  <c r="D19" i="27"/>
  <c r="D20" i="27"/>
  <c r="D21" i="27"/>
  <c r="D22" i="27"/>
  <c r="L19" i="27"/>
  <c r="L20" i="27"/>
  <c r="U20" i="27" s="1"/>
  <c r="L21" i="27"/>
  <c r="L22" i="27"/>
  <c r="L27" i="27"/>
  <c r="M27" i="27"/>
  <c r="N27" i="27"/>
  <c r="O27" i="27"/>
  <c r="P27" i="27"/>
  <c r="R27" i="27" s="1"/>
  <c r="Q27" i="27"/>
  <c r="L28" i="27"/>
  <c r="U28" i="27" s="1"/>
  <c r="M28" i="27"/>
  <c r="N28" i="27"/>
  <c r="O28" i="27"/>
  <c r="P28" i="27"/>
  <c r="R28" i="27" s="1"/>
  <c r="Q28" i="27"/>
  <c r="L29" i="27"/>
  <c r="U29" i="27" s="1"/>
  <c r="M29" i="27"/>
  <c r="N29" i="27"/>
  <c r="O29" i="27"/>
  <c r="P29" i="27"/>
  <c r="S29" i="27" s="1"/>
  <c r="R29" i="27"/>
  <c r="Q29" i="27"/>
  <c r="T29" i="27" s="1"/>
  <c r="L30" i="27"/>
  <c r="U30" i="27"/>
  <c r="M30" i="27"/>
  <c r="N30" i="27"/>
  <c r="O30" i="27"/>
  <c r="P30" i="27"/>
  <c r="R30" i="27" s="1"/>
  <c r="Q30" i="27"/>
  <c r="L31" i="27"/>
  <c r="U31" i="27" s="1"/>
  <c r="M31" i="27"/>
  <c r="N31" i="27"/>
  <c r="O31" i="27"/>
  <c r="P31" i="27"/>
  <c r="Q31" i="27"/>
  <c r="T31" i="27" s="1"/>
  <c r="L32" i="27"/>
  <c r="U32" i="27" s="1"/>
  <c r="M32" i="27"/>
  <c r="N32" i="27"/>
  <c r="O32" i="27"/>
  <c r="P32" i="27"/>
  <c r="R32" i="27" s="1"/>
  <c r="Q32" i="27"/>
  <c r="L33" i="27"/>
  <c r="M33" i="27"/>
  <c r="N33" i="27"/>
  <c r="O33" i="27"/>
  <c r="P33" i="27"/>
  <c r="S33" i="27" s="1"/>
  <c r="Q33" i="27"/>
  <c r="T33" i="27" s="1"/>
  <c r="L34" i="27"/>
  <c r="U34" i="27" s="1"/>
  <c r="M34" i="27"/>
  <c r="N34" i="27"/>
  <c r="O34" i="27"/>
  <c r="P34" i="27"/>
  <c r="R34" i="27" s="1"/>
  <c r="S34" i="27"/>
  <c r="Q34" i="27"/>
  <c r="T34" i="27" s="1"/>
  <c r="L35" i="27"/>
  <c r="M35" i="27"/>
  <c r="N35" i="27"/>
  <c r="O35" i="27"/>
  <c r="P35" i="27"/>
  <c r="R35" i="27" s="1"/>
  <c r="Q35" i="27"/>
  <c r="L36" i="27"/>
  <c r="U36" i="27" s="1"/>
  <c r="M36" i="27"/>
  <c r="N36" i="27"/>
  <c r="O36" i="27"/>
  <c r="P36" i="27"/>
  <c r="R36" i="27" s="1"/>
  <c r="Q36" i="27"/>
  <c r="T36" i="27" s="1"/>
  <c r="L37" i="27"/>
  <c r="M37" i="27"/>
  <c r="N37" i="27"/>
  <c r="O37" i="27"/>
  <c r="P37" i="27"/>
  <c r="Q37" i="27"/>
  <c r="L38" i="27"/>
  <c r="M38" i="27"/>
  <c r="N38" i="27"/>
  <c r="O38" i="27"/>
  <c r="P38" i="27"/>
  <c r="R38" i="27"/>
  <c r="Q38" i="27"/>
  <c r="L39" i="27"/>
  <c r="M39" i="27"/>
  <c r="N39" i="27"/>
  <c r="O39" i="27"/>
  <c r="P39" i="27"/>
  <c r="R39" i="27" s="1"/>
  <c r="Q39" i="27"/>
  <c r="L40" i="27"/>
  <c r="M40" i="27"/>
  <c r="N40" i="27"/>
  <c r="O40" i="27"/>
  <c r="P40" i="27"/>
  <c r="R40" i="27" s="1"/>
  <c r="Q40" i="27"/>
  <c r="L41" i="27"/>
  <c r="M41" i="27"/>
  <c r="N41" i="27"/>
  <c r="O41" i="27"/>
  <c r="P41" i="27"/>
  <c r="R41" i="27" s="1"/>
  <c r="Q41" i="27"/>
  <c r="L42" i="27"/>
  <c r="M42" i="27"/>
  <c r="N42" i="27"/>
  <c r="O42" i="27"/>
  <c r="P42" i="27"/>
  <c r="R42" i="27" s="1"/>
  <c r="Q42" i="27"/>
  <c r="D27" i="27"/>
  <c r="E27" i="27"/>
  <c r="F27" i="27"/>
  <c r="G27" i="27"/>
  <c r="H27" i="27"/>
  <c r="J27" i="27" s="1"/>
  <c r="I27" i="27"/>
  <c r="D28" i="27"/>
  <c r="E28" i="27"/>
  <c r="F28" i="27"/>
  <c r="G28" i="27"/>
  <c r="H28" i="27"/>
  <c r="I28" i="27"/>
  <c r="D29" i="27"/>
  <c r="E29" i="27"/>
  <c r="F29" i="27"/>
  <c r="G29" i="27"/>
  <c r="H29" i="27"/>
  <c r="J29" i="27" s="1"/>
  <c r="I29" i="27"/>
  <c r="D30" i="27"/>
  <c r="E30" i="27"/>
  <c r="F30" i="27"/>
  <c r="G30" i="27"/>
  <c r="H30" i="27"/>
  <c r="J30" i="27" s="1"/>
  <c r="I30" i="27"/>
  <c r="D31" i="27"/>
  <c r="E31" i="27"/>
  <c r="F31" i="27"/>
  <c r="G31" i="27"/>
  <c r="H31" i="27"/>
  <c r="J31" i="27" s="1"/>
  <c r="I31" i="27"/>
  <c r="D32" i="27"/>
  <c r="E32" i="27"/>
  <c r="F32" i="27"/>
  <c r="G32" i="27"/>
  <c r="H32" i="27"/>
  <c r="J32" i="27" s="1"/>
  <c r="I32" i="27"/>
  <c r="D33" i="27"/>
  <c r="E33" i="27"/>
  <c r="F33" i="27"/>
  <c r="G33" i="27"/>
  <c r="H33" i="27"/>
  <c r="J33" i="27" s="1"/>
  <c r="I33" i="27"/>
  <c r="D34" i="27"/>
  <c r="E34" i="27"/>
  <c r="F34" i="27"/>
  <c r="G34" i="27"/>
  <c r="H34" i="27"/>
  <c r="I34" i="27"/>
  <c r="D35" i="27"/>
  <c r="U35" i="27" s="1"/>
  <c r="E35" i="27"/>
  <c r="F35" i="27"/>
  <c r="G35" i="27"/>
  <c r="H35" i="27"/>
  <c r="I35" i="27"/>
  <c r="D36" i="27"/>
  <c r="E36" i="27"/>
  <c r="F36" i="27"/>
  <c r="G36" i="27"/>
  <c r="H36" i="27"/>
  <c r="J36" i="27" s="1"/>
  <c r="I36" i="27"/>
  <c r="D37" i="27"/>
  <c r="U37" i="27" s="1"/>
  <c r="E37" i="27"/>
  <c r="F37" i="27"/>
  <c r="G37" i="27"/>
  <c r="H37" i="27"/>
  <c r="J37" i="27" s="1"/>
  <c r="I37" i="27"/>
  <c r="D38" i="27"/>
  <c r="E38" i="27"/>
  <c r="F38" i="27"/>
  <c r="G38" i="27"/>
  <c r="H38" i="27"/>
  <c r="S38" i="27" s="1"/>
  <c r="I38" i="27"/>
  <c r="D39" i="27"/>
  <c r="U39" i="27" s="1"/>
  <c r="E39" i="27"/>
  <c r="F39" i="27"/>
  <c r="G39" i="27"/>
  <c r="H39" i="27"/>
  <c r="I39" i="27"/>
  <c r="T39" i="27" s="1"/>
  <c r="D40" i="27"/>
  <c r="U40" i="27" s="1"/>
  <c r="E40" i="27"/>
  <c r="F40" i="27"/>
  <c r="G40" i="27"/>
  <c r="H40" i="27"/>
  <c r="I40" i="27"/>
  <c r="T40" i="27" s="1"/>
  <c r="D41" i="27"/>
  <c r="E41" i="27"/>
  <c r="F41" i="27"/>
  <c r="G41" i="27"/>
  <c r="H41" i="27"/>
  <c r="J41" i="27" s="1"/>
  <c r="I41" i="27"/>
  <c r="D42" i="27"/>
  <c r="E42" i="27"/>
  <c r="F42" i="27"/>
  <c r="G42" i="27"/>
  <c r="H42" i="27"/>
  <c r="J42" i="27" s="1"/>
  <c r="I42" i="27"/>
  <c r="T42" i="27" s="1"/>
  <c r="H7" i="27"/>
  <c r="S7" i="27" s="1"/>
  <c r="P7" i="27"/>
  <c r="R7" i="27" s="1"/>
  <c r="I7" i="27"/>
  <c r="Q7" i="27"/>
  <c r="D7" i="27"/>
  <c r="L7" i="27"/>
  <c r="H8" i="27"/>
  <c r="P8" i="27"/>
  <c r="S8" i="27" s="1"/>
  <c r="I8" i="27"/>
  <c r="Q8" i="27"/>
  <c r="T8" i="27" s="1"/>
  <c r="D8" i="27"/>
  <c r="L8" i="27"/>
  <c r="U8" i="27" s="1"/>
  <c r="H9" i="27"/>
  <c r="P9" i="27"/>
  <c r="R9" i="27" s="1"/>
  <c r="I9" i="27"/>
  <c r="Q9" i="27"/>
  <c r="T9" i="27" s="1"/>
  <c r="D9" i="27"/>
  <c r="L9" i="27"/>
  <c r="U9" i="27" s="1"/>
  <c r="H10" i="27"/>
  <c r="P10" i="27"/>
  <c r="R10" i="27" s="1"/>
  <c r="S10" i="27"/>
  <c r="I10" i="27"/>
  <c r="Q10" i="27"/>
  <c r="D10" i="27"/>
  <c r="L10" i="27"/>
  <c r="H11" i="27"/>
  <c r="P11" i="27"/>
  <c r="S11" i="27" s="1"/>
  <c r="I11" i="27"/>
  <c r="Q11" i="27"/>
  <c r="D11" i="27"/>
  <c r="L11" i="27"/>
  <c r="H12" i="27"/>
  <c r="P12" i="27"/>
  <c r="I12" i="27"/>
  <c r="Q12" i="27"/>
  <c r="D12" i="27"/>
  <c r="L12" i="27"/>
  <c r="U12" i="27" s="1"/>
  <c r="H13" i="27"/>
  <c r="P13" i="27"/>
  <c r="R13" i="27" s="1"/>
  <c r="I13" i="27"/>
  <c r="Q13" i="27"/>
  <c r="D13" i="27"/>
  <c r="L13" i="27"/>
  <c r="U13" i="27"/>
  <c r="H14" i="27"/>
  <c r="J14" i="27" s="1"/>
  <c r="P14" i="27"/>
  <c r="R14" i="27" s="1"/>
  <c r="S14" i="27"/>
  <c r="I14" i="27"/>
  <c r="Q14" i="27"/>
  <c r="D14" i="27"/>
  <c r="L14" i="27"/>
  <c r="H15" i="27"/>
  <c r="P15" i="27"/>
  <c r="R15" i="27"/>
  <c r="I15" i="27"/>
  <c r="Q15" i="27"/>
  <c r="T15" i="27" s="1"/>
  <c r="D15" i="27"/>
  <c r="L15" i="27"/>
  <c r="H16" i="27"/>
  <c r="P16" i="27"/>
  <c r="S16" i="27" s="1"/>
  <c r="R16" i="27"/>
  <c r="I16" i="27"/>
  <c r="Q16" i="27"/>
  <c r="T16" i="27" s="1"/>
  <c r="D16" i="27"/>
  <c r="L16" i="27"/>
  <c r="U16" i="27" s="1"/>
  <c r="H17" i="27"/>
  <c r="J17" i="27" s="1"/>
  <c r="P17" i="27"/>
  <c r="S17" i="27" s="1"/>
  <c r="I17" i="27"/>
  <c r="Q17" i="27"/>
  <c r="T17" i="27" s="1"/>
  <c r="D17" i="27"/>
  <c r="L17" i="27"/>
  <c r="H18" i="27"/>
  <c r="P18" i="27"/>
  <c r="R18" i="27"/>
  <c r="I18" i="27"/>
  <c r="Q18" i="27"/>
  <c r="T18" i="27"/>
  <c r="D18" i="27"/>
  <c r="L18" i="27"/>
  <c r="U18" i="27" s="1"/>
  <c r="H19" i="27"/>
  <c r="P19" i="27"/>
  <c r="R19" i="27"/>
  <c r="I19" i="27"/>
  <c r="Q19" i="27"/>
  <c r="T19" i="27"/>
  <c r="H20" i="27"/>
  <c r="J20" i="27" s="1"/>
  <c r="P20" i="27"/>
  <c r="S20" i="27" s="1"/>
  <c r="I20" i="27"/>
  <c r="Q20" i="27"/>
  <c r="H21" i="27"/>
  <c r="J21" i="27" s="1"/>
  <c r="P21" i="27"/>
  <c r="R21" i="27" s="1"/>
  <c r="I21" i="27"/>
  <c r="Q21" i="27"/>
  <c r="H22" i="27"/>
  <c r="P22" i="27"/>
  <c r="R22" i="27" s="1"/>
  <c r="I22" i="27"/>
  <c r="Q22" i="27"/>
  <c r="T22" i="27" s="1"/>
  <c r="H23" i="27"/>
  <c r="P23" i="27"/>
  <c r="R23" i="27" s="1"/>
  <c r="I23" i="27"/>
  <c r="Q23" i="27"/>
  <c r="D23" i="27"/>
  <c r="L23" i="27"/>
  <c r="U23" i="27" s="1"/>
  <c r="H24" i="27"/>
  <c r="J24" i="27" s="1"/>
  <c r="P24" i="27"/>
  <c r="R24" i="27" s="1"/>
  <c r="I24" i="27"/>
  <c r="Q24" i="27"/>
  <c r="D24" i="27"/>
  <c r="L24" i="27"/>
  <c r="U24" i="27" s="1"/>
  <c r="H25" i="27"/>
  <c r="J25" i="27" s="1"/>
  <c r="P25" i="27"/>
  <c r="S25" i="27" s="1"/>
  <c r="I25" i="27"/>
  <c r="Q25" i="27"/>
  <c r="D25" i="27"/>
  <c r="L25" i="27"/>
  <c r="H26" i="27"/>
  <c r="P26" i="27"/>
  <c r="R26" i="27"/>
  <c r="I26" i="27"/>
  <c r="Q26" i="27"/>
  <c r="T26" i="27"/>
  <c r="D26" i="27"/>
  <c r="L26" i="27"/>
  <c r="T28" i="27"/>
  <c r="T30" i="27"/>
  <c r="T35" i="27"/>
  <c r="D6" i="27"/>
  <c r="D5" i="27"/>
  <c r="D4" i="27"/>
  <c r="D3" i="27"/>
  <c r="G3" i="27"/>
  <c r="G4" i="27"/>
  <c r="G5" i="27"/>
  <c r="G6" i="27"/>
  <c r="L6" i="27"/>
  <c r="U6" i="27" s="1"/>
  <c r="L5" i="27"/>
  <c r="U5" i="27" s="1"/>
  <c r="L4" i="27"/>
  <c r="U4" i="27"/>
  <c r="L3" i="27"/>
  <c r="O3" i="27"/>
  <c r="O4" i="27"/>
  <c r="O5" i="27"/>
  <c r="O6" i="27"/>
  <c r="G7" i="27"/>
  <c r="G8" i="27"/>
  <c r="G9" i="27"/>
  <c r="G10" i="27"/>
  <c r="O7" i="27"/>
  <c r="O8" i="27"/>
  <c r="O9" i="27"/>
  <c r="O10" i="27"/>
  <c r="G11" i="27"/>
  <c r="G12" i="27"/>
  <c r="G13" i="27"/>
  <c r="G14" i="27"/>
  <c r="O11" i="27"/>
  <c r="O12" i="27"/>
  <c r="O13" i="27"/>
  <c r="O14" i="27"/>
  <c r="G15" i="27"/>
  <c r="G16" i="27"/>
  <c r="G17" i="27"/>
  <c r="G18" i="27"/>
  <c r="O15" i="27"/>
  <c r="O16" i="27"/>
  <c r="O17" i="27"/>
  <c r="O18" i="27"/>
  <c r="G23" i="27"/>
  <c r="G24" i="27"/>
  <c r="G25" i="27"/>
  <c r="G26" i="27"/>
  <c r="O23" i="27"/>
  <c r="O24" i="27"/>
  <c r="O25" i="27"/>
  <c r="O26" i="27"/>
  <c r="F3" i="27"/>
  <c r="F4" i="27"/>
  <c r="F5" i="27"/>
  <c r="F6" i="27"/>
  <c r="N3" i="27"/>
  <c r="N4" i="27"/>
  <c r="N5" i="27"/>
  <c r="N6" i="27"/>
  <c r="F7" i="27"/>
  <c r="F8" i="27"/>
  <c r="F9" i="27"/>
  <c r="F10" i="27"/>
  <c r="N7" i="27"/>
  <c r="N8" i="27"/>
  <c r="N9" i="27"/>
  <c r="N10" i="27"/>
  <c r="F11" i="27"/>
  <c r="F12" i="27"/>
  <c r="F13" i="27"/>
  <c r="F14" i="27"/>
  <c r="N11" i="27"/>
  <c r="N12" i="27"/>
  <c r="N13" i="27"/>
  <c r="N14" i="27"/>
  <c r="F15" i="27"/>
  <c r="F16" i="27"/>
  <c r="F17" i="27"/>
  <c r="F18" i="27"/>
  <c r="N15" i="27"/>
  <c r="N16" i="27"/>
  <c r="N17" i="27"/>
  <c r="N18" i="27"/>
  <c r="F23" i="27"/>
  <c r="F24" i="27"/>
  <c r="F25" i="27"/>
  <c r="F26" i="27"/>
  <c r="N23" i="27"/>
  <c r="N24" i="27"/>
  <c r="N25" i="27"/>
  <c r="N26" i="27"/>
  <c r="E3" i="27"/>
  <c r="E4" i="27"/>
  <c r="E5" i="27"/>
  <c r="E6" i="27"/>
  <c r="M3" i="27"/>
  <c r="M4" i="27"/>
  <c r="M5" i="27"/>
  <c r="M6" i="27"/>
  <c r="E7" i="27"/>
  <c r="E8" i="27"/>
  <c r="E9" i="27"/>
  <c r="E10" i="27"/>
  <c r="M7" i="27"/>
  <c r="M8" i="27"/>
  <c r="M9" i="27"/>
  <c r="M10" i="27"/>
  <c r="E11" i="27"/>
  <c r="E12" i="27"/>
  <c r="E13" i="27"/>
  <c r="E14" i="27"/>
  <c r="M11" i="27"/>
  <c r="M12" i="27"/>
  <c r="M13" i="27"/>
  <c r="M14" i="27"/>
  <c r="E15" i="27"/>
  <c r="E16" i="27"/>
  <c r="E17" i="27"/>
  <c r="E18" i="27"/>
  <c r="M15" i="27"/>
  <c r="M16" i="27"/>
  <c r="M17" i="27"/>
  <c r="M18" i="27"/>
  <c r="E23" i="27"/>
  <c r="E24" i="27"/>
  <c r="E25" i="27"/>
  <c r="E26" i="27"/>
  <c r="M23" i="27"/>
  <c r="M24" i="27"/>
  <c r="M25" i="27"/>
  <c r="M26" i="27"/>
  <c r="H3" i="27"/>
  <c r="J3" i="27" s="1"/>
  <c r="P3" i="27"/>
  <c r="S3" i="27" s="1"/>
  <c r="H4" i="27"/>
  <c r="J4" i="27" s="1"/>
  <c r="P4" i="27"/>
  <c r="S4" i="27" s="1"/>
  <c r="H5" i="27"/>
  <c r="P5" i="27"/>
  <c r="R5" i="27" s="1"/>
  <c r="H6" i="27"/>
  <c r="J6" i="27" s="1"/>
  <c r="P6" i="27"/>
  <c r="R6" i="27" s="1"/>
  <c r="I3" i="27"/>
  <c r="Q3" i="27"/>
  <c r="I4" i="27"/>
  <c r="Q4" i="27"/>
  <c r="I5" i="27"/>
  <c r="Q5" i="27"/>
  <c r="T5" i="27" s="1"/>
  <c r="I6" i="27"/>
  <c r="Q6" i="27"/>
  <c r="T6" i="27" s="1"/>
  <c r="R31" i="27"/>
  <c r="R37" i="27"/>
  <c r="R8" i="27"/>
  <c r="R12" i="27"/>
  <c r="R17" i="27"/>
  <c r="J28" i="27"/>
  <c r="J34" i="27"/>
  <c r="J35" i="27"/>
  <c r="J39" i="27"/>
  <c r="J40" i="27"/>
  <c r="J5" i="27"/>
  <c r="J7" i="27"/>
  <c r="J8" i="27"/>
  <c r="J9" i="27"/>
  <c r="J10" i="27"/>
  <c r="J11" i="27"/>
  <c r="J12" i="27"/>
  <c r="J13" i="27"/>
  <c r="J15" i="27"/>
  <c r="J16" i="27"/>
  <c r="J19" i="27"/>
  <c r="J23" i="27"/>
  <c r="J26" i="27"/>
  <c r="B14" i="30"/>
  <c r="B13" i="30"/>
  <c r="B12" i="30"/>
  <c r="B11" i="30"/>
  <c r="B10" i="30"/>
  <c r="B9" i="30"/>
  <c r="B8" i="30"/>
  <c r="B7" i="30"/>
  <c r="B6" i="30"/>
  <c r="B5" i="30"/>
  <c r="AB4" i="10"/>
  <c r="AB5" i="10"/>
  <c r="AB6" i="10"/>
  <c r="AB7" i="10"/>
  <c r="AB8" i="10"/>
  <c r="AB9" i="10"/>
  <c r="AB10" i="10"/>
  <c r="AB11" i="10"/>
  <c r="AB12" i="10"/>
  <c r="AD8" i="10"/>
  <c r="R43" i="31"/>
  <c r="R46" i="31"/>
  <c r="R47" i="31"/>
  <c r="J45" i="31"/>
  <c r="R44" i="31"/>
  <c r="X3" i="31"/>
  <c r="X27" i="31"/>
  <c r="V31" i="31"/>
  <c r="W7" i="27"/>
  <c r="X19" i="31"/>
  <c r="Y19" i="27"/>
  <c r="V7" i="27"/>
  <c r="X19" i="27"/>
  <c r="X31" i="31"/>
  <c r="Y7" i="27"/>
  <c r="X35" i="27"/>
  <c r="V3" i="27"/>
  <c r="V19" i="31"/>
  <c r="Z7" i="31"/>
  <c r="Z3" i="27"/>
  <c r="Z23" i="31"/>
  <c r="AA31" i="31"/>
  <c r="AA27" i="31"/>
  <c r="Z31" i="27"/>
  <c r="X35" i="31"/>
  <c r="V35" i="31"/>
  <c r="AA3" i="27"/>
  <c r="Z27" i="31"/>
  <c r="W27" i="27"/>
  <c r="AA3" i="31"/>
  <c r="X15" i="31"/>
  <c r="W19" i="27"/>
  <c r="X23" i="31"/>
  <c r="X27" i="27"/>
  <c r="Y7" i="31"/>
  <c r="Z27" i="27"/>
  <c r="AA11" i="31"/>
  <c r="V23" i="27"/>
  <c r="X7" i="31"/>
  <c r="Y31" i="27"/>
  <c r="AA27" i="27"/>
  <c r="Y27" i="27"/>
  <c r="Z19" i="27"/>
  <c r="Z3" i="31"/>
  <c r="Y23" i="27"/>
  <c r="Z15" i="27"/>
  <c r="Y11" i="27"/>
  <c r="X39" i="27"/>
  <c r="AA19" i="31"/>
  <c r="AA39" i="31"/>
  <c r="AA19" i="27"/>
  <c r="X31" i="27"/>
  <c r="W39" i="27"/>
  <c r="Z39" i="31"/>
  <c r="Z31" i="31"/>
  <c r="Y27" i="31"/>
  <c r="AA23" i="27"/>
  <c r="AA15" i="27"/>
  <c r="AA39" i="27"/>
  <c r="Y35" i="31"/>
  <c r="AA7" i="27"/>
  <c r="W19" i="31"/>
  <c r="V11" i="31"/>
  <c r="W7" i="31"/>
  <c r="V35" i="27"/>
  <c r="Z11" i="27"/>
  <c r="Z23" i="27"/>
  <c r="Z35" i="27"/>
  <c r="V15" i="27"/>
  <c r="X39" i="31"/>
  <c r="W15" i="31"/>
  <c r="Y39" i="31"/>
  <c r="W3" i="31"/>
  <c r="W3" i="27"/>
  <c r="Y11" i="31"/>
  <c r="V39" i="31"/>
  <c r="W11" i="31"/>
  <c r="V31" i="27"/>
  <c r="W39" i="31"/>
  <c r="AA15" i="31"/>
  <c r="Z15" i="31"/>
  <c r="V15" i="31"/>
  <c r="W11" i="27"/>
  <c r="X23" i="27"/>
  <c r="AA23" i="31"/>
  <c r="AA7" i="31"/>
  <c r="Y35" i="27"/>
  <c r="V7" i="31"/>
  <c r="Y3" i="27"/>
  <c r="V39" i="27"/>
  <c r="Y19" i="31"/>
  <c r="W23" i="31"/>
  <c r="V11" i="27"/>
  <c r="W27" i="31"/>
  <c r="X3" i="27"/>
  <c r="AA35" i="31"/>
  <c r="V27" i="31"/>
  <c r="AA11" i="27"/>
  <c r="Y39" i="27"/>
  <c r="V3" i="31"/>
  <c r="W35" i="27"/>
  <c r="V19" i="27"/>
  <c r="Z7" i="27"/>
  <c r="AA35" i="27"/>
  <c r="X15" i="27"/>
  <c r="Y3" i="31"/>
  <c r="W31" i="27"/>
  <c r="Y31" i="31"/>
  <c r="W31" i="31"/>
  <c r="Y23" i="31"/>
  <c r="X7" i="27"/>
  <c r="Z11" i="31"/>
  <c r="W15" i="27"/>
  <c r="Z39" i="27"/>
  <c r="V23" i="31"/>
  <c r="X11" i="31"/>
  <c r="V27" i="27"/>
  <c r="W23" i="27"/>
  <c r="Z35" i="31"/>
  <c r="X11" i="27"/>
  <c r="AA31" i="27"/>
  <c r="W35" i="31"/>
  <c r="Y15" i="27"/>
  <c r="Y15" i="31"/>
  <c r="Z19" i="31"/>
  <c r="AG6" i="10"/>
  <c r="AF3" i="10"/>
  <c r="AE4" i="10"/>
  <c r="AL3" i="10"/>
  <c r="AG5" i="10"/>
  <c r="AQ6" i="10"/>
  <c r="AI5" i="10"/>
  <c r="AD6" i="10"/>
  <c r="AF4" i="10"/>
  <c r="AJ3" i="10"/>
  <c r="AL4" i="10"/>
  <c r="AO3" i="10"/>
  <c r="AK4" i="10"/>
  <c r="AO5" i="10"/>
  <c r="AJ6" i="10"/>
  <c r="AK6" i="10"/>
  <c r="AN3" i="10"/>
  <c r="AI3" i="10"/>
  <c r="AQ5" i="10"/>
  <c r="AF6" i="10"/>
  <c r="AJ4" i="10"/>
  <c r="AI6" i="10"/>
  <c r="AD4" i="10"/>
  <c r="AN4" i="10"/>
  <c r="AD5" i="10"/>
  <c r="AP6" i="10"/>
  <c r="AJ5" i="10"/>
  <c r="AF5" i="10"/>
  <c r="AO6" i="10"/>
  <c r="AP5" i="10"/>
  <c r="AP4" i="10"/>
  <c r="AE6" i="10"/>
  <c r="AL5" i="10"/>
  <c r="AQ4" i="10"/>
  <c r="AE5" i="10"/>
  <c r="AE3" i="10"/>
  <c r="AK3" i="10"/>
  <c r="AK5" i="10"/>
  <c r="AQ3" i="10"/>
  <c r="AN5" i="10"/>
  <c r="AD3" i="10"/>
  <c r="AP3" i="10"/>
  <c r="AN6" i="10"/>
  <c r="AL6" i="10"/>
  <c r="AG4" i="10"/>
  <c r="AO4" i="10"/>
  <c r="AG3" i="10"/>
  <c r="AI4" i="10"/>
  <c r="T39" i="31" l="1"/>
  <c r="S30" i="31"/>
  <c r="U26" i="31"/>
  <c r="T7" i="31"/>
  <c r="S35" i="27"/>
  <c r="S30" i="27"/>
  <c r="R25" i="27"/>
  <c r="S28" i="27"/>
  <c r="T41" i="31"/>
  <c r="S32" i="31"/>
  <c r="U28" i="31"/>
  <c r="S13" i="27"/>
  <c r="S40" i="27"/>
  <c r="S39" i="27"/>
  <c r="T24" i="27"/>
  <c r="U14" i="27"/>
  <c r="T41" i="27"/>
  <c r="S38" i="31"/>
  <c r="T24" i="31"/>
  <c r="U42" i="27"/>
  <c r="S36" i="27"/>
  <c r="T33" i="31"/>
  <c r="S18" i="27"/>
  <c r="S9" i="27"/>
  <c r="F6" i="30" s="1"/>
  <c r="T42" i="31"/>
  <c r="Q44" i="31"/>
  <c r="Q43" i="31"/>
  <c r="U42" i="31"/>
  <c r="T23" i="31"/>
  <c r="G27" i="30" s="1"/>
  <c r="T14" i="31"/>
  <c r="G24" i="30" s="1"/>
  <c r="S15" i="27"/>
  <c r="F8" i="30" s="1"/>
  <c r="U26" i="27"/>
  <c r="S22" i="27"/>
  <c r="Q43" i="27"/>
  <c r="S12" i="27"/>
  <c r="F7" i="30" s="1"/>
  <c r="R4" i="27"/>
  <c r="Q46" i="27"/>
  <c r="R3" i="27"/>
  <c r="R20" i="27"/>
  <c r="R33" i="27"/>
  <c r="R44" i="27" s="1"/>
  <c r="U27" i="27"/>
  <c r="Q44" i="27"/>
  <c r="S5" i="27"/>
  <c r="U31" i="31"/>
  <c r="U8" i="31"/>
  <c r="S19" i="27"/>
  <c r="U10" i="27"/>
  <c r="S29" i="31"/>
  <c r="T10" i="27"/>
  <c r="U34" i="31"/>
  <c r="U25" i="31"/>
  <c r="T23" i="27"/>
  <c r="T14" i="27"/>
  <c r="U29" i="31"/>
  <c r="S24" i="31"/>
  <c r="F27" i="30" s="1"/>
  <c r="U20" i="31"/>
  <c r="T15" i="31"/>
  <c r="G25" i="30" s="1"/>
  <c r="S15" i="31"/>
  <c r="F25" i="30" s="1"/>
  <c r="U11" i="31"/>
  <c r="S6" i="31"/>
  <c r="S23" i="27"/>
  <c r="T37" i="31"/>
  <c r="T28" i="31"/>
  <c r="T4" i="27"/>
  <c r="U41" i="27"/>
  <c r="U17" i="27"/>
  <c r="U15" i="31"/>
  <c r="U6" i="31"/>
  <c r="T13" i="27"/>
  <c r="S14" i="31"/>
  <c r="T36" i="31"/>
  <c r="U19" i="31"/>
  <c r="Q45" i="27"/>
  <c r="U37" i="31"/>
  <c r="Q45" i="31"/>
  <c r="U41" i="31"/>
  <c r="U32" i="31"/>
  <c r="U23" i="31"/>
  <c r="T18" i="31"/>
  <c r="S26" i="27"/>
  <c r="T21" i="27"/>
  <c r="U22" i="27"/>
  <c r="T40" i="31"/>
  <c r="G31" i="30" s="1"/>
  <c r="T31" i="31"/>
  <c r="T22" i="31"/>
  <c r="T3" i="27"/>
  <c r="T9" i="31"/>
  <c r="G23" i="30" s="1"/>
  <c r="R11" i="27"/>
  <c r="U25" i="27"/>
  <c r="U21" i="27"/>
  <c r="S40" i="31"/>
  <c r="F31" i="30" s="1"/>
  <c r="S31" i="31"/>
  <c r="F29" i="30" s="1"/>
  <c r="S22" i="31"/>
  <c r="T4" i="31"/>
  <c r="Q46" i="31"/>
  <c r="U27" i="31"/>
  <c r="S13" i="31"/>
  <c r="U9" i="31"/>
  <c r="S4" i="31"/>
  <c r="S43" i="31" s="1"/>
  <c r="G8" i="30"/>
  <c r="T25" i="27"/>
  <c r="T12" i="27"/>
  <c r="U19" i="27"/>
  <c r="U18" i="31"/>
  <c r="T20" i="27"/>
  <c r="T38" i="27"/>
  <c r="T35" i="31"/>
  <c r="U40" i="31"/>
  <c r="S26" i="31"/>
  <c r="U22" i="31"/>
  <c r="T17" i="31"/>
  <c r="U3" i="27"/>
  <c r="T27" i="27"/>
  <c r="G11" i="30" s="1"/>
  <c r="U13" i="31"/>
  <c r="U4" i="31"/>
  <c r="U11" i="27"/>
  <c r="U7" i="27"/>
  <c r="U33" i="27"/>
  <c r="T21" i="31"/>
  <c r="G26" i="30" s="1"/>
  <c r="S21" i="31"/>
  <c r="F26" i="30" s="1"/>
  <c r="S36" i="31"/>
  <c r="F30" i="30" s="1"/>
  <c r="T32" i="27"/>
  <c r="G12" i="30" s="1"/>
  <c r="U15" i="27"/>
  <c r="T11" i="27"/>
  <c r="T7" i="27"/>
  <c r="G6" i="30" s="1"/>
  <c r="U38" i="27"/>
  <c r="S12" i="31"/>
  <c r="T37" i="27"/>
  <c r="G13" i="30" s="1"/>
  <c r="I44" i="31"/>
  <c r="F28" i="30"/>
  <c r="T27" i="31"/>
  <c r="G28" i="30" s="1"/>
  <c r="T3" i="31"/>
  <c r="I45" i="31"/>
  <c r="F23" i="30"/>
  <c r="I46" i="31"/>
  <c r="D27" i="30"/>
  <c r="C27" i="30"/>
  <c r="E14" i="30"/>
  <c r="D10" i="30"/>
  <c r="C9" i="30"/>
  <c r="AA45" i="31"/>
  <c r="AA43" i="31"/>
  <c r="E13" i="30"/>
  <c r="C12" i="30"/>
  <c r="C8" i="30"/>
  <c r="C10" i="30"/>
  <c r="E29" i="30"/>
  <c r="D13" i="30"/>
  <c r="E25" i="30"/>
  <c r="C23" i="30"/>
  <c r="W44" i="27"/>
  <c r="D11" i="30"/>
  <c r="Z44" i="31"/>
  <c r="V45" i="31"/>
  <c r="C22" i="30"/>
  <c r="V43" i="31"/>
  <c r="AA43" i="27"/>
  <c r="AA45" i="27"/>
  <c r="C26" i="30"/>
  <c r="Y45" i="31"/>
  <c r="Y43" i="31"/>
  <c r="C24" i="30"/>
  <c r="C7" i="30"/>
  <c r="C25" i="30"/>
  <c r="E12" i="30"/>
  <c r="V44" i="31"/>
  <c r="C28" i="30"/>
  <c r="D26" i="30"/>
  <c r="E31" i="30"/>
  <c r="D12" i="30"/>
  <c r="C30" i="30"/>
  <c r="E11" i="30"/>
  <c r="X44" i="27"/>
  <c r="C29" i="30"/>
  <c r="E26" i="30"/>
  <c r="D23" i="30"/>
  <c r="Z45" i="31"/>
  <c r="Z43" i="31"/>
  <c r="D22" i="30"/>
  <c r="W43" i="31"/>
  <c r="W45" i="31"/>
  <c r="Z44" i="27"/>
  <c r="E8" i="30"/>
  <c r="D9" i="30"/>
  <c r="E9" i="30"/>
  <c r="D8" i="30"/>
  <c r="AA44" i="31"/>
  <c r="V43" i="27"/>
  <c r="V45" i="27"/>
  <c r="C5" i="30"/>
  <c r="D14" i="30"/>
  <c r="C31" i="30"/>
  <c r="E23" i="30"/>
  <c r="E7" i="30"/>
  <c r="E6" i="30"/>
  <c r="D6" i="30"/>
  <c r="Y43" i="27"/>
  <c r="Y45" i="27"/>
  <c r="C13" i="30"/>
  <c r="AA44" i="27"/>
  <c r="Z43" i="27"/>
  <c r="Z45" i="27"/>
  <c r="D25" i="30"/>
  <c r="D24" i="30"/>
  <c r="E30" i="30"/>
  <c r="E28" i="30"/>
  <c r="X44" i="31"/>
  <c r="C14" i="30"/>
  <c r="D7" i="30"/>
  <c r="Y44" i="31"/>
  <c r="C6" i="30"/>
  <c r="D5" i="30"/>
  <c r="W45" i="27"/>
  <c r="W43" i="27"/>
  <c r="D29" i="30"/>
  <c r="V44" i="27"/>
  <c r="C11" i="30"/>
  <c r="X45" i="31"/>
  <c r="X43" i="31"/>
  <c r="E22" i="30"/>
  <c r="D30" i="30"/>
  <c r="E10" i="30"/>
  <c r="Y44" i="27"/>
  <c r="W44" i="31"/>
  <c r="D28" i="30"/>
  <c r="E24" i="30"/>
  <c r="X43" i="27"/>
  <c r="X45" i="27"/>
  <c r="E5" i="30"/>
  <c r="E27" i="30"/>
  <c r="D31" i="30"/>
  <c r="G14" i="30"/>
  <c r="S37" i="27"/>
  <c r="S6" i="27"/>
  <c r="S21" i="27"/>
  <c r="S31" i="27"/>
  <c r="S24" i="27"/>
  <c r="S27" i="27"/>
  <c r="F11" i="30" s="1"/>
  <c r="I43" i="27"/>
  <c r="J38" i="27"/>
  <c r="J45" i="27" s="1"/>
  <c r="S42" i="27"/>
  <c r="S32" i="27"/>
  <c r="I44" i="27"/>
  <c r="S41" i="27"/>
  <c r="J22" i="27"/>
  <c r="I45" i="27"/>
  <c r="I46" i="27"/>
  <c r="J18" i="27"/>
  <c r="J46" i="27" s="1"/>
  <c r="AE13" i="10"/>
  <c r="AE16" i="10" s="1"/>
  <c r="AE12" i="10"/>
  <c r="AE15" i="10" s="1"/>
  <c r="AD13" i="10"/>
  <c r="AD16" i="10" s="1"/>
  <c r="AD12" i="10"/>
  <c r="AD15" i="10" s="1"/>
  <c r="AG13" i="10"/>
  <c r="AG16" i="10" s="1"/>
  <c r="AG12" i="10"/>
  <c r="AG15" i="10" s="1"/>
  <c r="AF12" i="10"/>
  <c r="AF15" i="10" s="1"/>
  <c r="AF13" i="10"/>
  <c r="AF16" i="10" s="1"/>
  <c r="G29" i="30" l="1"/>
  <c r="F13" i="30"/>
  <c r="T43" i="31"/>
  <c r="G9" i="30"/>
  <c r="R45" i="27"/>
  <c r="G16" i="30"/>
  <c r="G22" i="30"/>
  <c r="S45" i="31"/>
  <c r="G7" i="30"/>
  <c r="R46" i="27"/>
  <c r="F22" i="30"/>
  <c r="F10" i="30"/>
  <c r="T45" i="27"/>
  <c r="F9" i="30"/>
  <c r="F24" i="30"/>
  <c r="Q47" i="27"/>
  <c r="F33" i="30"/>
  <c r="T43" i="27"/>
  <c r="G5" i="30"/>
  <c r="R47" i="27"/>
  <c r="G10" i="30"/>
  <c r="T45" i="31"/>
  <c r="Q47" i="31"/>
  <c r="S45" i="27"/>
  <c r="F14" i="30"/>
  <c r="F5" i="30"/>
  <c r="F15" i="30" s="1"/>
  <c r="R43" i="27"/>
  <c r="S43" i="27"/>
  <c r="G30" i="30"/>
  <c r="G33" i="30" s="1"/>
  <c r="C33" i="30"/>
  <c r="E33" i="30"/>
  <c r="D33" i="30"/>
  <c r="D16" i="30"/>
  <c r="C16" i="30"/>
  <c r="D34" i="30"/>
  <c r="D32" i="30"/>
  <c r="C15" i="30"/>
  <c r="C17" i="30"/>
  <c r="F12" i="30"/>
  <c r="E15" i="30"/>
  <c r="E17" i="30"/>
  <c r="D17" i="30"/>
  <c r="D15" i="30"/>
  <c r="J44" i="27"/>
  <c r="J43" i="27"/>
  <c r="E34" i="30"/>
  <c r="E32" i="30"/>
  <c r="C32" i="30"/>
  <c r="C34" i="30"/>
  <c r="E16" i="30"/>
  <c r="G34" i="30" l="1"/>
  <c r="G32" i="30"/>
  <c r="F34" i="30"/>
  <c r="F32" i="30"/>
  <c r="F16" i="30"/>
  <c r="G15" i="30"/>
  <c r="G17" i="30"/>
  <c r="F17" i="30"/>
</calcChain>
</file>

<file path=xl/sharedStrings.xml><?xml version="1.0" encoding="utf-8"?>
<sst xmlns="http://schemas.openxmlformats.org/spreadsheetml/2006/main" count="305" uniqueCount="172">
  <si>
    <t>QPISlice</t>
  </si>
  <si>
    <t>All</t>
  </si>
  <si>
    <t>Time geomean</t>
  </si>
  <si>
    <t>Time ratio</t>
  </si>
  <si>
    <t>Time sum (hours)</t>
  </si>
  <si>
    <t>Reference</t>
  </si>
  <si>
    <t>Tested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</si>
  <si>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</si>
  <si>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</si>
  <si>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</si>
  <si>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</si>
  <si>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</si>
  <si>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</si>
  <si>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</si>
  <si>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</si>
  <si>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</si>
  <si>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</si>
  <si>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BD-rate (piecewise cubic)</t>
  </si>
  <si>
    <t>BD-rate (cubic)</t>
  </si>
  <si>
    <t>Line 1 - Reference</t>
  </si>
  <si>
    <t>Line 2 - Test</t>
  </si>
  <si>
    <t>Select the coding condition and sequence from the dropbox below</t>
  </si>
  <si>
    <t>rate</t>
  </si>
  <si>
    <t>y</t>
  </si>
  <si>
    <t>u</t>
  </si>
  <si>
    <t>v</t>
  </si>
  <si>
    <t>Line 3 - Reference2</t>
  </si>
  <si>
    <t>EncT</t>
  </si>
  <si>
    <t>DecT</t>
  </si>
  <si>
    <t>EncR</t>
  </si>
  <si>
    <t>DecR</t>
  </si>
  <si>
    <t xml:space="preserve">Overall </t>
  </si>
  <si>
    <t>4K</t>
    <phoneticPr fontId="8" type="noConversion"/>
  </si>
  <si>
    <t>HD</t>
    <phoneticPr fontId="8" type="noConversion"/>
  </si>
  <si>
    <t>IPPP_Night_traffic_4k_qp38</t>
  </si>
  <si>
    <t>IPPP_On_roof_4k_qp38</t>
  </si>
  <si>
    <t>IPPP_Bulong_day_4k_qp38</t>
  </si>
  <si>
    <t>IPPP_Day_traffic_4k_qp38</t>
  </si>
  <si>
    <t>IPPP_Indoor_people_4k_qp38</t>
  </si>
  <si>
    <t>IPPP_Indoor_still_4k_qp38</t>
  </si>
  <si>
    <t>IPPP_Night_traffic_HD_qp38</t>
  </si>
  <si>
    <t>IPPP_Outdoor_crowd_HD_qp38</t>
  </si>
  <si>
    <t>IPPP_Bulong_day_HD_qp38</t>
  </si>
  <si>
    <t>IPPP_Indoor_people_HD_qp38</t>
  </si>
  <si>
    <t>Bulong_day_4k</t>
  </si>
  <si>
    <t>Day_traffic_4k</t>
  </si>
  <si>
    <t>Indoor_people_4k</t>
  </si>
  <si>
    <t>Indoor_still_4k</t>
  </si>
  <si>
    <t>Night_traffic_HD</t>
  </si>
  <si>
    <t>Outdoor_crowd_HD</t>
  </si>
  <si>
    <t>Bulong_day_HD</t>
  </si>
  <si>
    <t>Indoor_people_HD</t>
  </si>
  <si>
    <t>IPPP_Night_traffic_4k_qp28</t>
  </si>
  <si>
    <t>IPPP_Night_traffic_4k_qp33</t>
  </si>
  <si>
    <t>IPPP_Night_traffic_4k_qp43</t>
  </si>
  <si>
    <t>IPPP_On_roof_4k_qp28</t>
  </si>
  <si>
    <t>IPPP_On_roof_4k_qp33</t>
  </si>
  <si>
    <t>IPPP_On_roof_4k_qp43</t>
  </si>
  <si>
    <t>IPPP_Bulong_day_4k_qp28</t>
  </si>
  <si>
    <t>IPPP_Bulong_day_4k_qp33</t>
  </si>
  <si>
    <t>IPPP_Bulong_day_4k_qp43</t>
  </si>
  <si>
    <t>IPPP_Day_traffic_4k_qp28</t>
  </si>
  <si>
    <t>IPPP_Day_traffic_4k_qp33</t>
  </si>
  <si>
    <t>IPPP_Day_traffic_4k_qp43</t>
  </si>
  <si>
    <t>IPPP_Indoor_people_4k_qp28</t>
  </si>
  <si>
    <t>IPPP_Indoor_people_4k_qp33</t>
  </si>
  <si>
    <t>IPPP_Indoor_people_4k_qp43</t>
  </si>
  <si>
    <t>IPPP_Indoor_still_4k_qp28</t>
  </si>
  <si>
    <t>IPPP_Indoor_still_4k_qp33</t>
  </si>
  <si>
    <t>IPPP_Indoor_still_4k_qp43</t>
  </si>
  <si>
    <t>IPPP_Night_traffic_HD_qp28</t>
  </si>
  <si>
    <t>IPPP_Night_traffic_HD_qp33</t>
  </si>
  <si>
    <t>IPPP_Night_traffic_HD_qp43</t>
  </si>
  <si>
    <t>IPPP_Outdoor_crowd_HD_qp28</t>
  </si>
  <si>
    <t>IPPP_Outdoor_crowd_HD_qp33</t>
  </si>
  <si>
    <t>IPPP_Outdoor_crowd_HD_qp43</t>
  </si>
  <si>
    <t>IPPP_Bulong_day_HD_qp28</t>
  </si>
  <si>
    <t>IPPP_Bulong_day_HD_qp33</t>
  </si>
  <si>
    <t>IPPP_Bulong_day_HD_qp43</t>
  </si>
  <si>
    <t>IPPP_Indoor_people_HD_qp28</t>
  </si>
  <si>
    <t>IPPP_Indoor_people_HD_qp33</t>
  </si>
  <si>
    <t>IPPP_Indoor_people_HD_qp43</t>
  </si>
  <si>
    <t>Night_traffic_4K</t>
  </si>
  <si>
    <t>Night_traffic_4K</t>
    <phoneticPr fontId="8" type="noConversion"/>
  </si>
  <si>
    <t>On_roof_4K</t>
  </si>
  <si>
    <t>On_roof_4K</t>
    <phoneticPr fontId="8" type="noConversion"/>
  </si>
  <si>
    <t>Outdoor_crowd_HD</t>
    <phoneticPr fontId="8" type="noConversion"/>
  </si>
  <si>
    <t>Night_traffic_HD</t>
    <phoneticPr fontId="8" type="noConversion"/>
  </si>
  <si>
    <t>Class4K</t>
    <phoneticPr fontId="8" type="noConversion"/>
  </si>
  <si>
    <t>ClassHD</t>
    <phoneticPr fontId="8" type="noConversion"/>
  </si>
  <si>
    <t>Reference:</t>
    <phoneticPr fontId="8" type="noConversion"/>
  </si>
  <si>
    <t>Tested:</t>
    <phoneticPr fontId="8" type="noConversion"/>
  </si>
  <si>
    <t>Additional Command:</t>
    <phoneticPr fontId="8" type="noConversion"/>
  </si>
  <si>
    <t>QP set:</t>
    <phoneticPr fontId="8" type="noConversion"/>
  </si>
  <si>
    <t>HM16.20</t>
    <phoneticPr fontId="8" type="noConversion"/>
  </si>
  <si>
    <t>IPPP</t>
  </si>
  <si>
    <t>IPPP</t>
    <phoneticPr fontId="8" type="noConversion"/>
  </si>
  <si>
    <t>IPPPCRR</t>
    <phoneticPr fontId="8" type="noConversion"/>
  </si>
  <si>
    <t>IPPP</t>
    <phoneticPr fontId="1" type="noConversion"/>
  </si>
  <si>
    <t>IPPPCRR</t>
    <phoneticPr fontId="1" type="noConversion"/>
  </si>
  <si>
    <t>IPPP_Bulong_day_4k_qp32</t>
  </si>
  <si>
    <t>IPPP_Bulong_day_4k_qp45</t>
  </si>
  <si>
    <t>IPPP_Bulong_day_4k_qp52</t>
  </si>
  <si>
    <t>IPPP_Day_traffic_4k_qp32</t>
  </si>
  <si>
    <t>IPPP_Day_traffic_4k_qp45</t>
  </si>
  <si>
    <t>IPPP_Day_traffic_4k_qp52</t>
  </si>
  <si>
    <t>IPPP_Indoor_people_4k_qp32</t>
  </si>
  <si>
    <t>IPPP_Indoor_people_4k_qp45</t>
  </si>
  <si>
    <t>IPPP_Indoor_people_4k_qp52</t>
  </si>
  <si>
    <t>IPPP_Indoor_still_4k_qp32</t>
  </si>
  <si>
    <t>IPPP_Indoor_still_4k_qp45</t>
  </si>
  <si>
    <t>IPPP_Indoor_still_4k_qp52</t>
  </si>
  <si>
    <t>IPPP_Night_traffic_4k_qp32</t>
  </si>
  <si>
    <t>IPPP_Night_traffic_4k_qp45</t>
  </si>
  <si>
    <t>IPPP_Night_traffic_4k_qp52</t>
  </si>
  <si>
    <t>IPPP_On_roof_4k_qp32</t>
  </si>
  <si>
    <t>IPPP_On_roof_4k_qp45</t>
  </si>
  <si>
    <t>IPPP_On_roof_4k_qp52</t>
  </si>
  <si>
    <t>IPPP_Bulong_day_HD_qp32</t>
  </si>
  <si>
    <t>IPPP_Bulong_day_HD_qp45</t>
  </si>
  <si>
    <t>IPPP_Bulong_day_HD_qp52</t>
  </si>
  <si>
    <t>IPPP_Indoor_people_HD_qp32</t>
  </si>
  <si>
    <t>IPPP_Indoor_people_HD_qp45</t>
  </si>
  <si>
    <t>IPPP_Indoor_people_HD_qp52</t>
  </si>
  <si>
    <t>IPPP_Outdoor_crowd_HD_qp32</t>
  </si>
  <si>
    <t>IPPP_Outdoor_crowd_HD_qp45</t>
  </si>
  <si>
    <t>IPPP_Outdoor_crowd_HD_qp52</t>
  </si>
  <si>
    <t>IPPP_Night_traffic_HD_qp32</t>
  </si>
  <si>
    <t>IPPP_Night_traffic_HD_qp45</t>
  </si>
  <si>
    <t>IPPP_Night_traffic_HD_qp52</t>
  </si>
  <si>
    <t>IPPPCRR_Bulong_day_4k_qp32</t>
  </si>
  <si>
    <t>IPPPCRR_Bulong_day_4k_qp38</t>
  </si>
  <si>
    <t>IPPPCRR_Bulong_day_4k_qp45</t>
  </si>
  <si>
    <t>IPPPCRR_Bulong_day_4k_qp52</t>
  </si>
  <si>
    <t>IPPPCRR_Day_traffic_4k_qp32</t>
  </si>
  <si>
    <t>IPPPCRR_Day_traffic_4k_qp38</t>
  </si>
  <si>
    <t>IPPPCRR_Day_traffic_4k_qp45</t>
  </si>
  <si>
    <t>IPPPCRR_Day_traffic_4k_qp52</t>
  </si>
  <si>
    <t>IPPPCRR_Indoor_people_4k_qp32</t>
  </si>
  <si>
    <t>IPPPCRR_Indoor_people_4k_qp38</t>
  </si>
  <si>
    <t>IPPPCRR_Indoor_people_4k_qp45</t>
  </si>
  <si>
    <t>IPPPCRR_Indoor_people_4k_qp52</t>
  </si>
  <si>
    <t>IPPPCRR_Indoor_still_4k_qp32</t>
  </si>
  <si>
    <t>IPPPCRR_Indoor_still_4k_qp38</t>
  </si>
  <si>
    <t>IPPPCRR_Indoor_still_4k_qp45</t>
  </si>
  <si>
    <t>IPPPCRR_Indoor_still_4k_qp52</t>
  </si>
  <si>
    <t>IPPPCRR_Night_traffic_4k_qp32</t>
  </si>
  <si>
    <t>IPPPCRR_Night_traffic_4k_qp38</t>
  </si>
  <si>
    <t>IPPPCRR_Night_traffic_4k_qp45</t>
  </si>
  <si>
    <t>IPPPCRR_Night_traffic_4k_qp52</t>
  </si>
  <si>
    <t>IPPPCRR_On_roof_4k_qp32</t>
  </si>
  <si>
    <t>IPPPCRR_On_roof_4k_qp38</t>
  </si>
  <si>
    <t>IPPPCRR_On_roof_4k_qp45</t>
  </si>
  <si>
    <t>IPPPCRR_On_roof_4k_qp52</t>
  </si>
  <si>
    <t>IPPPCRR_Bulong_day_HD_qp32</t>
  </si>
  <si>
    <t>IPPPCRR_Bulong_day_HD_qp38</t>
  </si>
  <si>
    <t>IPPPCRR_Bulong_day_HD_qp45</t>
  </si>
  <si>
    <t>IPPPCRR_Bulong_day_HD_qp52</t>
  </si>
  <si>
    <t>IPPPCRR_Indoor_people_HD_qp32</t>
  </si>
  <si>
    <t>IPPPCRR_Indoor_people_HD_qp38</t>
  </si>
  <si>
    <t>IPPPCRR_Indoor_people_HD_qp45</t>
  </si>
  <si>
    <t>IPPPCRR_Indoor_people_HD_qp52</t>
  </si>
  <si>
    <t>IPPPCRR_Outdoor_crowd_HD_qp32</t>
  </si>
  <si>
    <t>IPPPCRR_Outdoor_crowd_HD_qp38</t>
  </si>
  <si>
    <t>IPPPCRR_Outdoor_crowd_HD_qp45</t>
  </si>
  <si>
    <t>IPPPCRR_Outdoor_crowd_HD_qp52</t>
  </si>
  <si>
    <t>IPPPCRR_Night_traffic_HD_qp32</t>
  </si>
  <si>
    <t>IPPPCRR_Night_traffic_HD_qp38</t>
  </si>
  <si>
    <t>IPPPCRR_Night_traffic_HD_qp45</t>
  </si>
  <si>
    <t>IPPPCRR_Night_traffic_HD_qp52</t>
  </si>
  <si>
    <t>32 38 45 52</t>
    <phoneticPr fontId="8" type="noConversion"/>
  </si>
  <si>
    <t>HPM7.1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</si>
</sst>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0.0"/>
    <numFmt numFmtId="178" formatCode="0.000_);[Red]\(0.000\)"/>
  </numFmts>
  <fonts count="12" x14ac:knownFonts="1">
    <font>
      <sz val="12"/>
      <color theme="1"/>
      <name val="宋体"/>
      <family val="2"/>
      <charset val="129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宋体"/>
      <family val="2"/>
      <scheme val="minor"/>
    </font>
    <font>
      <u/>
      <sz val="12"/>
      <color theme="10"/>
      <name val="宋体"/>
      <family val="2"/>
      <charset val="129"/>
      <scheme val="minor"/>
    </font>
    <font>
      <u/>
      <sz val="12"/>
      <color theme="11"/>
      <name val="宋体"/>
      <family val="2"/>
      <charset val="129"/>
      <scheme val="minor"/>
    </font>
    <font>
      <sz val="9"/>
      <name val="宋体"/>
      <family val="3"/>
      <charset val="134"/>
      <scheme val="minor"/>
    </font>
    <font>
      <sz val="9"/>
      <color indexed="8"/>
      <name val="宋体"/>
      <family val="3"/>
      <charset val="134"/>
    </font>
    <font>
      <b/>
      <sz val="9"/>
      <color indexed="8"/>
      <name val="宋体"/>
      <family val="3"/>
      <charset val="134"/>
    </font>
    <font>
      <sz val="10.5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5" fillId="0" borderId="0"/>
  </cellStyleXfs>
  <cellXfs count="112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/>
    <xf numFmtId="176" fontId="2" fillId="2" borderId="3" xfId="0" applyNumberFormat="1" applyFont="1" applyFill="1" applyBorder="1"/>
    <xf numFmtId="176" fontId="2" fillId="2" borderId="4" xfId="0" applyNumberFormat="1" applyFont="1" applyFill="1" applyBorder="1"/>
    <xf numFmtId="176" fontId="2" fillId="2" borderId="5" xfId="0" applyNumberFormat="1" applyFont="1" applyFill="1" applyBorder="1"/>
    <xf numFmtId="2" fontId="2" fillId="0" borderId="0" xfId="0" applyNumberFormat="1" applyFont="1"/>
    <xf numFmtId="0" fontId="2" fillId="0" borderId="7" xfId="0" applyFont="1" applyBorder="1"/>
    <xf numFmtId="176" fontId="2" fillId="2" borderId="8" xfId="0" applyNumberFormat="1" applyFont="1" applyFill="1" applyBorder="1"/>
    <xf numFmtId="176" fontId="2" fillId="2" borderId="0" xfId="0" applyNumberFormat="1" applyFont="1" applyFill="1" applyBorder="1"/>
    <xf numFmtId="176" fontId="2" fillId="2" borderId="9" xfId="0" applyNumberFormat="1" applyFont="1" applyFill="1" applyBorder="1"/>
    <xf numFmtId="0" fontId="2" fillId="0" borderId="0" xfId="0" applyFont="1" applyBorder="1"/>
    <xf numFmtId="0" fontId="2" fillId="0" borderId="10" xfId="0" applyFont="1" applyBorder="1"/>
    <xf numFmtId="176" fontId="2" fillId="2" borderId="11" xfId="0" applyNumberFormat="1" applyFont="1" applyFill="1" applyBorder="1"/>
    <xf numFmtId="176" fontId="2" fillId="2" borderId="12" xfId="0" applyNumberFormat="1" applyFont="1" applyFill="1" applyBorder="1"/>
    <xf numFmtId="176" fontId="2" fillId="2" borderId="13" xfId="0" applyNumberFormat="1" applyFont="1" applyFill="1" applyBorder="1"/>
    <xf numFmtId="10" fontId="2" fillId="0" borderId="0" xfId="0" applyNumberFormat="1" applyFont="1" applyBorder="1"/>
    <xf numFmtId="176" fontId="2" fillId="0" borderId="0" xfId="0" applyNumberFormat="1" applyFont="1"/>
    <xf numFmtId="9" fontId="2" fillId="0" borderId="0" xfId="0" applyNumberFormat="1" applyFont="1"/>
    <xf numFmtId="0" fontId="0" fillId="3" borderId="0" xfId="0" applyFill="1"/>
    <xf numFmtId="0" fontId="0" fillId="0" borderId="0" xfId="0" applyBorder="1"/>
    <xf numFmtId="2" fontId="4" fillId="0" borderId="0" xfId="0" applyNumberFormat="1" applyFont="1"/>
    <xf numFmtId="0" fontId="4" fillId="0" borderId="0" xfId="0" applyFont="1"/>
    <xf numFmtId="177" fontId="4" fillId="0" borderId="0" xfId="0" applyNumberFormat="1" applyFont="1"/>
    <xf numFmtId="0" fontId="2" fillId="0" borderId="7" xfId="0" applyFont="1" applyFill="1" applyBorder="1"/>
    <xf numFmtId="0" fontId="3" fillId="0" borderId="0" xfId="0" applyFont="1" applyBorder="1" applyAlignment="1">
      <alignment horizontal="center"/>
    </xf>
    <xf numFmtId="10" fontId="2" fillId="0" borderId="3" xfId="0" applyNumberFormat="1" applyFont="1" applyBorder="1" applyAlignment="1">
      <alignment horizontal="center"/>
    </xf>
    <xf numFmtId="10" fontId="2" fillId="0" borderId="8" xfId="0" applyNumberFormat="1" applyFont="1" applyBorder="1"/>
    <xf numFmtId="10" fontId="2" fillId="0" borderId="11" xfId="0" applyNumberFormat="1" applyFont="1" applyBorder="1"/>
    <xf numFmtId="10" fontId="2" fillId="0" borderId="8" xfId="0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0" fontId="2" fillId="0" borderId="9" xfId="0" applyNumberFormat="1" applyFont="1" applyBorder="1" applyAlignment="1">
      <alignment horizontal="center"/>
    </xf>
    <xf numFmtId="10" fontId="2" fillId="0" borderId="2" xfId="0" applyNumberFormat="1" applyFont="1" applyBorder="1" applyAlignment="1">
      <alignment horizontal="center"/>
    </xf>
    <xf numFmtId="10" fontId="2" fillId="0" borderId="14" xfId="0" applyNumberFormat="1" applyFont="1" applyBorder="1" applyAlignment="1">
      <alignment horizontal="center"/>
    </xf>
    <xf numFmtId="0" fontId="2" fillId="0" borderId="5" xfId="0" applyFont="1" applyBorder="1"/>
    <xf numFmtId="0" fontId="2" fillId="0" borderId="4" xfId="0" applyFont="1" applyBorder="1"/>
    <xf numFmtId="10" fontId="2" fillId="0" borderId="9" xfId="0" applyNumberFormat="1" applyFont="1" applyBorder="1"/>
    <xf numFmtId="10" fontId="2" fillId="0" borderId="12" xfId="0" applyNumberFormat="1" applyFont="1" applyBorder="1"/>
    <xf numFmtId="10" fontId="2" fillId="0" borderId="13" xfId="0" applyNumberFormat="1" applyFont="1" applyBorder="1"/>
    <xf numFmtId="0" fontId="2" fillId="0" borderId="3" xfId="0" applyFont="1" applyBorder="1"/>
    <xf numFmtId="2" fontId="2" fillId="0" borderId="2" xfId="0" applyNumberFormat="1" applyFont="1" applyBorder="1"/>
    <xf numFmtId="176" fontId="0" fillId="0" borderId="0" xfId="0" applyNumberFormat="1"/>
    <xf numFmtId="178" fontId="0" fillId="0" borderId="0" xfId="0" applyNumberFormat="1"/>
    <xf numFmtId="0" fontId="2" fillId="0" borderId="9" xfId="0" applyFont="1" applyFill="1" applyBorder="1"/>
    <xf numFmtId="0" fontId="2" fillId="0" borderId="13" xfId="0" applyFont="1" applyFill="1" applyBorder="1"/>
    <xf numFmtId="0" fontId="2" fillId="0" borderId="9" xfId="0" applyFont="1" applyBorder="1"/>
    <xf numFmtId="0" fontId="2" fillId="0" borderId="13" xfId="0" applyFont="1" applyBorder="1"/>
    <xf numFmtId="0" fontId="9" fillId="0" borderId="6" xfId="0" applyFont="1" applyBorder="1"/>
    <xf numFmtId="2" fontId="2" fillId="0" borderId="5" xfId="0" applyNumberFormat="1" applyFont="1" applyBorder="1"/>
    <xf numFmtId="2" fontId="2" fillId="0" borderId="9" xfId="0" applyNumberFormat="1" applyFont="1" applyBorder="1"/>
    <xf numFmtId="2" fontId="2" fillId="0" borderId="13" xfId="0" applyNumberFormat="1" applyFont="1" applyBorder="1"/>
    <xf numFmtId="0" fontId="2" fillId="0" borderId="0" xfId="5" applyFont="1" applyAlignment="1">
      <alignment horizontal="center" vertical="center"/>
    </xf>
    <xf numFmtId="0" fontId="2" fillId="0" borderId="0" xfId="5" applyFont="1"/>
    <xf numFmtId="0" fontId="3" fillId="0" borderId="0" xfId="5" applyFont="1"/>
    <xf numFmtId="0" fontId="3" fillId="0" borderId="6" xfId="5" applyFont="1" applyBorder="1" applyAlignment="1">
      <alignment horizontal="left" vertical="center"/>
    </xf>
    <xf numFmtId="0" fontId="3" fillId="0" borderId="7" xfId="5" applyFont="1" applyBorder="1" applyAlignment="1">
      <alignment horizontal="left" vertical="center"/>
    </xf>
    <xf numFmtId="10" fontId="2" fillId="0" borderId="8" xfId="5" applyNumberFormat="1" applyFont="1" applyBorder="1" applyAlignment="1">
      <alignment horizontal="center" vertical="center"/>
    </xf>
    <xf numFmtId="10" fontId="2" fillId="0" borderId="0" xfId="5" applyNumberFormat="1" applyFont="1" applyBorder="1" applyAlignment="1">
      <alignment horizontal="center" vertical="center"/>
    </xf>
    <xf numFmtId="9" fontId="2" fillId="0" borderId="0" xfId="5" applyNumberFormat="1" applyFont="1" applyBorder="1" applyAlignment="1">
      <alignment horizontal="center" vertical="center"/>
    </xf>
    <xf numFmtId="0" fontId="3" fillId="0" borderId="10" xfId="5" applyFont="1" applyBorder="1" applyAlignment="1">
      <alignment horizontal="left" vertical="center"/>
    </xf>
    <xf numFmtId="10" fontId="2" fillId="0" borderId="0" xfId="5" applyNumberFormat="1" applyFont="1" applyBorder="1"/>
    <xf numFmtId="0" fontId="2" fillId="0" borderId="0" xfId="5" applyFont="1" applyBorder="1"/>
    <xf numFmtId="0" fontId="5" fillId="0" borderId="0" xfId="0" applyFont="1"/>
    <xf numFmtId="0" fontId="2" fillId="0" borderId="0" xfId="5" applyFont="1" applyAlignment="1">
      <alignment horizontal="left" vertical="center"/>
    </xf>
    <xf numFmtId="10" fontId="2" fillId="0" borderId="0" xfId="5" applyNumberFormat="1" applyFont="1" applyAlignment="1">
      <alignment horizontal="center" vertical="center"/>
    </xf>
    <xf numFmtId="10" fontId="3" fillId="0" borderId="0" xfId="5" applyNumberFormat="1" applyFont="1"/>
    <xf numFmtId="0" fontId="9" fillId="0" borderId="7" xfId="0" applyFont="1" applyBorder="1"/>
    <xf numFmtId="0" fontId="2" fillId="0" borderId="2" xfId="5" applyFont="1" applyBorder="1" applyAlignment="1">
      <alignment horizontal="center" vertical="center"/>
    </xf>
    <xf numFmtId="10" fontId="2" fillId="0" borderId="3" xfId="5" applyNumberFormat="1" applyFont="1" applyBorder="1" applyAlignment="1">
      <alignment horizontal="center" vertical="center"/>
    </xf>
    <xf numFmtId="10" fontId="2" fillId="0" borderId="4" xfId="5" applyNumberFormat="1" applyFont="1" applyBorder="1" applyAlignment="1">
      <alignment horizontal="center" vertical="center"/>
    </xf>
    <xf numFmtId="10" fontId="2" fillId="0" borderId="5" xfId="5" applyNumberFormat="1" applyFont="1" applyBorder="1" applyAlignment="1">
      <alignment horizontal="center" vertical="center"/>
    </xf>
    <xf numFmtId="9" fontId="2" fillId="0" borderId="4" xfId="5" applyNumberFormat="1" applyFont="1" applyBorder="1" applyAlignment="1">
      <alignment horizontal="center" vertical="center"/>
    </xf>
    <xf numFmtId="10" fontId="2" fillId="0" borderId="9" xfId="5" applyNumberFormat="1" applyFont="1" applyBorder="1" applyAlignment="1">
      <alignment horizontal="center" vertical="center"/>
    </xf>
    <xf numFmtId="10" fontId="2" fillId="0" borderId="11" xfId="5" applyNumberFormat="1" applyFont="1" applyBorder="1" applyAlignment="1">
      <alignment horizontal="center" vertical="center"/>
    </xf>
    <xf numFmtId="10" fontId="2" fillId="0" borderId="12" xfId="5" applyNumberFormat="1" applyFont="1" applyBorder="1" applyAlignment="1">
      <alignment horizontal="center" vertical="center"/>
    </xf>
    <xf numFmtId="10" fontId="2" fillId="0" borderId="13" xfId="5" applyNumberFormat="1" applyFont="1" applyBorder="1" applyAlignment="1">
      <alignment horizontal="center" vertical="center"/>
    </xf>
    <xf numFmtId="9" fontId="2" fillId="0" borderId="12" xfId="5" applyNumberFormat="1" applyFont="1" applyBorder="1" applyAlignment="1">
      <alignment horizontal="center" vertical="center"/>
    </xf>
    <xf numFmtId="0" fontId="2" fillId="0" borderId="14" xfId="5" applyFont="1" applyBorder="1" applyAlignment="1">
      <alignment horizontal="center" vertical="center"/>
    </xf>
    <xf numFmtId="9" fontId="2" fillId="0" borderId="5" xfId="5" applyNumberFormat="1" applyFont="1" applyBorder="1" applyAlignment="1">
      <alignment horizontal="center" vertical="center"/>
    </xf>
    <xf numFmtId="9" fontId="2" fillId="0" borderId="9" xfId="5" applyNumberFormat="1" applyFont="1" applyBorder="1" applyAlignment="1">
      <alignment horizontal="center" vertical="center"/>
    </xf>
    <xf numFmtId="9" fontId="2" fillId="0" borderId="13" xfId="5" applyNumberFormat="1" applyFont="1" applyBorder="1" applyAlignment="1">
      <alignment horizontal="center" vertical="center"/>
    </xf>
    <xf numFmtId="0" fontId="10" fillId="0" borderId="6" xfId="5" applyFont="1" applyBorder="1" applyAlignment="1">
      <alignment horizontal="center" vertical="center"/>
    </xf>
    <xf numFmtId="0" fontId="10" fillId="0" borderId="10" xfId="5" applyFont="1" applyBorder="1" applyAlignment="1">
      <alignment horizontal="center" vertical="center"/>
    </xf>
    <xf numFmtId="0" fontId="3" fillId="0" borderId="10" xfId="5" applyFont="1" applyBorder="1" applyAlignment="1">
      <alignment horizontal="center" vertical="center"/>
    </xf>
    <xf numFmtId="0" fontId="2" fillId="0" borderId="8" xfId="0" applyFont="1" applyFill="1" applyBorder="1"/>
    <xf numFmtId="0" fontId="2" fillId="0" borderId="12" xfId="0" applyFont="1" applyBorder="1"/>
    <xf numFmtId="0" fontId="11" fillId="0" borderId="6" xfId="0" applyFont="1" applyBorder="1"/>
    <xf numFmtId="0" fontId="11" fillId="0" borderId="7" xfId="0" applyFont="1" applyBorder="1"/>
    <xf numFmtId="0" fontId="11" fillId="0" borderId="5" xfId="0" applyFont="1" applyBorder="1"/>
    <xf numFmtId="0" fontId="11" fillId="0" borderId="9" xfId="0" applyFont="1" applyBorder="1"/>
    <xf numFmtId="10" fontId="3" fillId="0" borderId="0" xfId="5" quotePrefix="1" applyNumberFormat="1" applyFont="1"/>
    <xf numFmtId="10" fontId="3" fillId="0" borderId="15" xfId="5" applyNumberFormat="1" applyFont="1" applyBorder="1" applyAlignment="1">
      <alignment horizontal="center" vertical="center"/>
    </xf>
    <xf numFmtId="0" fontId="2" fillId="0" borderId="1" xfId="5" applyFont="1" applyBorder="1" applyAlignment="1">
      <alignment horizontal="center" vertical="center"/>
    </xf>
    <xf numFmtId="0" fontId="3" fillId="0" borderId="15" xfId="5" applyFont="1" applyBorder="1" applyAlignment="1">
      <alignment horizontal="center" vertical="center"/>
    </xf>
    <xf numFmtId="0" fontId="3" fillId="0" borderId="1" xfId="5" applyFont="1" applyBorder="1" applyAlignment="1">
      <alignment horizontal="center" vertical="center"/>
    </xf>
    <xf numFmtId="0" fontId="3" fillId="0" borderId="2" xfId="5" applyFont="1" applyBorder="1" applyAlignment="1">
      <alignment horizontal="center" vertical="center"/>
    </xf>
    <xf numFmtId="0" fontId="3" fillId="0" borderId="14" xfId="5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6">
    <cellStyle name="常规" xfId="0" builtinId="0"/>
    <cellStyle name="常规 2" xfId="5"/>
    <cellStyle name="超链接" xfId="1" builtinId="8" hidden="1"/>
    <cellStyle name="超链接" xfId="3" builtinId="8" hidden="1"/>
    <cellStyle name="已访问的超链接" xfId="2" builtinId="9" hidden="1"/>
    <cellStyle name="已访问的超链接" xfId="4" builtinId="9" hidden="1"/>
  </cellStyles>
  <dxfs count="212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Summary_SEQ!$J$4</c:f>
              <c:strCache>
                <c:ptCount val="1"/>
                <c:pt idx="0">
                  <c:v>HM16.20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15987.6576</c:v>
                </c:pt>
                <c:pt idx="1">
                  <c:v>5909.9704000000002</c:v>
                </c:pt>
                <c:pt idx="2">
                  <c:v>2427.7840000000001</c:v>
                </c:pt>
                <c:pt idx="3">
                  <c:v>978.87199999999996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36.108499999999999</c:v>
                </c:pt>
                <c:pt idx="1">
                  <c:v>33.332299999999996</c:v>
                </c:pt>
                <c:pt idx="2">
                  <c:v>30.8064</c:v>
                </c:pt>
                <c:pt idx="3">
                  <c:v>28.2912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058-4752-87FC-344666D2D66B}"/>
            </c:ext>
          </c:extLst>
        </c:ser>
        <c:ser>
          <c:idx val="1"/>
          <c:order val="1"/>
          <c:tx>
            <c:strRef>
              <c:f>Summary_SEQ!$J$5</c:f>
              <c:strCache>
                <c:ptCount val="1"/>
                <c:pt idx="0">
                  <c:v>HPM7.1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17548.3256</c:v>
                </c:pt>
                <c:pt idx="1">
                  <c:v>6786.2951999999996</c:v>
                </c:pt>
                <c:pt idx="2">
                  <c:v>2568.8184000000001</c:v>
                </c:pt>
                <c:pt idx="3">
                  <c:v>971.16800000000001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36.762799999999999</c:v>
                </c:pt>
                <c:pt idx="1">
                  <c:v>34.1282</c:v>
                </c:pt>
                <c:pt idx="2">
                  <c:v>31.446400000000001</c:v>
                </c:pt>
                <c:pt idx="3">
                  <c:v>28.828299999999999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058-4752-87FC-344666D2D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77877408"/>
        <c:axId val="-277867616"/>
      </c:scatterChart>
      <c:valAx>
        <c:axId val="-277877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277867616"/>
        <c:crosses val="autoZero"/>
        <c:crossBetween val="midCat"/>
      </c:valAx>
      <c:valAx>
        <c:axId val="-277867616"/>
        <c:scaling>
          <c:orientation val="minMax"/>
          <c:max val="37"/>
          <c:min val="27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277877408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49460484106104"/>
          <c:y val="0.80000078494861004"/>
          <c:w val="0.29305375716924298"/>
          <c:h val="9.69690190595335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03"/>
          <c:y val="3.1331642203942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470262920263796E-2"/>
          <c:y val="0.117493584928031"/>
          <c:w val="0.87417289212290195"/>
          <c:h val="0.76240281775522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15987.6576</c:v>
                </c:pt>
                <c:pt idx="1">
                  <c:v>5909.9704000000002</c:v>
                </c:pt>
                <c:pt idx="2">
                  <c:v>2427.7840000000001</c:v>
                </c:pt>
                <c:pt idx="3">
                  <c:v>978.87199999999996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44.691600000000001</c:v>
                </c:pt>
                <c:pt idx="1">
                  <c:v>42.618499999999997</c:v>
                </c:pt>
                <c:pt idx="2">
                  <c:v>41.092100000000002</c:v>
                </c:pt>
                <c:pt idx="3">
                  <c:v>39.856200000000001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6A9-4270-871F-840E28B4985C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1"/>
          <c:order val="1"/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17548.3256</c:v>
                </c:pt>
                <c:pt idx="1">
                  <c:v>6786.2951999999996</c:v>
                </c:pt>
                <c:pt idx="2">
                  <c:v>2568.8184000000001</c:v>
                </c:pt>
                <c:pt idx="3">
                  <c:v>971.16800000000001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44.984400000000001</c:v>
                </c:pt>
                <c:pt idx="1">
                  <c:v>43.188200000000002</c:v>
                </c:pt>
                <c:pt idx="2">
                  <c:v>41.211599999999997</c:v>
                </c:pt>
                <c:pt idx="3">
                  <c:v>39.1937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6A9-4270-871F-840E28B4985C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77876320"/>
        <c:axId val="-277866528"/>
      </c:scatterChart>
      <c:valAx>
        <c:axId val="-277876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"/>
              <c:y val="0.929504733695997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277866528"/>
        <c:crosses val="autoZero"/>
        <c:crossBetween val="midCat"/>
      </c:valAx>
      <c:valAx>
        <c:axId val="-277866528"/>
        <c:scaling>
          <c:orientation val="minMax"/>
          <c:max val="45.5"/>
          <c:min val="39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02E-2"/>
              <c:y val="0.4203658900179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277876320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1310259579728"/>
          <c:y val="0.79143526053656699"/>
          <c:w val="0.29011974862845502"/>
          <c:h val="9.66078681505594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03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748415307791205E-2"/>
          <c:y val="0.117493584928031"/>
          <c:w val="0.86589473973537401"/>
          <c:h val="0.7650137863091800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15987.6576</c:v>
                </c:pt>
                <c:pt idx="1">
                  <c:v>5909.9704000000002</c:v>
                </c:pt>
                <c:pt idx="2">
                  <c:v>2427.7840000000001</c:v>
                </c:pt>
                <c:pt idx="3">
                  <c:v>978.87199999999996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45.419699999999999</c:v>
                </c:pt>
                <c:pt idx="1">
                  <c:v>43.811</c:v>
                </c:pt>
                <c:pt idx="2">
                  <c:v>42.7986</c:v>
                </c:pt>
                <c:pt idx="3">
                  <c:v>41.797400000000003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03A-487A-A182-684D8090D036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1"/>
          <c:order val="1"/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17548.3256</c:v>
                </c:pt>
                <c:pt idx="1">
                  <c:v>6786.2951999999996</c:v>
                </c:pt>
                <c:pt idx="2">
                  <c:v>2568.8184000000001</c:v>
                </c:pt>
                <c:pt idx="3">
                  <c:v>971.16800000000001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45.610399999999998</c:v>
                </c:pt>
                <c:pt idx="1">
                  <c:v>44.233699999999999</c:v>
                </c:pt>
                <c:pt idx="2">
                  <c:v>42.808399999999999</c:v>
                </c:pt>
                <c:pt idx="3">
                  <c:v>41.220500000000001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03A-487A-A182-684D8090D036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77864352"/>
        <c:axId val="-277874688"/>
      </c:scatterChart>
      <c:valAx>
        <c:axId val="-277864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9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277874688"/>
        <c:crosses val="autoZero"/>
        <c:crossBetween val="midCat"/>
      </c:valAx>
      <c:valAx>
        <c:axId val="-277874688"/>
        <c:scaling>
          <c:orientation val="minMax"/>
          <c:max val="46"/>
          <c:min val="41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7999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27786435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8244746600701"/>
          <c:y val="0.80223880597014896"/>
          <c:w val="0.28847162337093502"/>
          <c:h val="9.67881067105418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98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858069520841902E-2"/>
          <c:y val="0.114882616374075"/>
          <c:w val="0.85478530636318595"/>
          <c:h val="0.7650137863091800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15987.6576</c:v>
                </c:pt>
                <c:pt idx="1">
                  <c:v>5909.9704000000002</c:v>
                </c:pt>
                <c:pt idx="2">
                  <c:v>2427.7840000000001</c:v>
                </c:pt>
                <c:pt idx="3">
                  <c:v>978.87199999999996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36.108499999999999</c:v>
                </c:pt>
                <c:pt idx="1">
                  <c:v>33.332299999999996</c:v>
                </c:pt>
                <c:pt idx="2">
                  <c:v>30.8064</c:v>
                </c:pt>
                <c:pt idx="3">
                  <c:v>28.2912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631-4242-A8D0-9ABCCF3A6B55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ser>
          <c:idx val="1"/>
          <c:order val="1"/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17548.3256</c:v>
                </c:pt>
                <c:pt idx="1">
                  <c:v>6786.2951999999996</c:v>
                </c:pt>
                <c:pt idx="2">
                  <c:v>2568.8184000000001</c:v>
                </c:pt>
                <c:pt idx="3">
                  <c:v>971.16800000000001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36.762799999999999</c:v>
                </c:pt>
                <c:pt idx="1">
                  <c:v>34.1282</c:v>
                </c:pt>
                <c:pt idx="2">
                  <c:v>31.446400000000001</c:v>
                </c:pt>
                <c:pt idx="3">
                  <c:v>28.828299999999999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631-4242-A8D0-9ABCCF3A6B55}"/>
            </c:ext>
            <c:ext xmlns:c15="http://schemas.microsoft.com/office/drawing/2012/chart" uri="{02D57815-91ED-43cb-92C2-25804820EDAC}">
              <c15:filteredSeriesTitle>
                <c15:tx>
                  <c:strRef>
                    <c:extLst xmlns:c16r2="http://schemas.microsoft.com/office/drawing/2015/06/chart" xmlns:c16="http://schemas.microsoft.com/office/drawing/2014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77874144"/>
        <c:axId val="-569815728"/>
      </c:scatterChart>
      <c:valAx>
        <c:axId val="-277874144"/>
        <c:scaling>
          <c:logBase val="10"/>
          <c:orientation val="minMax"/>
          <c:max val="100000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98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569815728"/>
        <c:crosses val="autoZero"/>
        <c:crossBetween val="midCat"/>
      </c:valAx>
      <c:valAx>
        <c:axId val="-569815728"/>
        <c:scaling>
          <c:orientation val="minMax"/>
          <c:max val="37"/>
          <c:min val="27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01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-27787414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351456838548705"/>
          <c:y val="0.79477611940298498"/>
          <c:w val="0.27953992187474702"/>
          <c:h val="9.67881067105416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3159154" name="Chart 2">
          <a:extLst>
            <a:ext uri="{FF2B5EF4-FFF2-40B4-BE49-F238E27FC236}">
              <a16:creationId xmlns="" xmlns:a16="http://schemas.microsoft.com/office/drawing/2014/main" id="{00000000-0008-0000-0100-000072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159155" name="Chart 3">
          <a:extLst>
            <a:ext uri="{FF2B5EF4-FFF2-40B4-BE49-F238E27FC236}">
              <a16:creationId xmlns="" xmlns:a16="http://schemas.microsoft.com/office/drawing/2014/main" id="{00000000-0008-0000-0100-000073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3159156" name="Chart 4">
          <a:extLst>
            <a:ext uri="{FF2B5EF4-FFF2-40B4-BE49-F238E27FC236}">
              <a16:creationId xmlns="" xmlns:a16="http://schemas.microsoft.com/office/drawing/2014/main" id="{00000000-0008-0000-0100-000074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3159157" name="Chart 7">
          <a:extLst>
            <a:ext uri="{FF2B5EF4-FFF2-40B4-BE49-F238E27FC236}">
              <a16:creationId xmlns="" xmlns:a16="http://schemas.microsoft.com/office/drawing/2014/main" id="{00000000-0008-0000-0100-000075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0.25922</cdr:x>
      <cdr:y>0.0878</cdr:y>
    </cdr:from>
    <cdr:to>
      <cdr:x>0.77409</cdr:x>
      <cdr:y>0.13407</cdr:y>
    </cdr:to>
    <cdr:sp macro="" textlink="Plot!$AD$8">
      <cdr:nvSpPr>
        <cdr:cNvPr id="542721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Night_traffic_4K     Coding Conditions: IPPP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0.25552</cdr:x>
      <cdr:y>0.08141</cdr:y>
    </cdr:from>
    <cdr:to>
      <cdr:x>0.76495</cdr:x>
      <cdr:y>0.12744</cdr:y>
    </cdr:to>
    <cdr:sp macro="" textlink="Plot!$AD$8">
      <cdr:nvSpPr>
        <cdr:cNvPr id="543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Night_traffic_4K     Coding Conditions: IPPP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0.25849</cdr:x>
      <cdr:y>0.08313</cdr:y>
    </cdr:from>
    <cdr:to>
      <cdr:x>0.77062</cdr:x>
      <cdr:y>0.13087</cdr:y>
    </cdr:to>
    <cdr:sp macro="" textlink="Plot!$AD$8">
      <cdr:nvSpPr>
        <cdr:cNvPr id="544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Night_traffic_4K     Coding Conditions: IPPP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0.25576</cdr:x>
      <cdr:y>0.09244</cdr:y>
    </cdr:from>
    <cdr:to>
      <cdr:x>0.75805</cdr:x>
      <cdr:y>0.13943</cdr:y>
    </cdr:to>
    <cdr:sp macro="" textlink="Plot!$AD$8">
      <cdr:nvSpPr>
        <cdr:cNvPr id="545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Night_traffic_4K     Coding Conditions: IPPP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Z122"/>
  <sheetViews>
    <sheetView tabSelected="1" zoomScale="130" zoomScaleNormal="130" workbookViewId="0">
      <selection activeCell="B19" sqref="B19"/>
    </sheetView>
  </sheetViews>
  <sheetFormatPr defaultColWidth="10.875" defaultRowHeight="12" x14ac:dyDescent="0.2"/>
  <cols>
    <col min="1" max="1" width="4.125" style="64" customWidth="1"/>
    <col min="2" max="2" width="15.375" style="63" bestFit="1" customWidth="1"/>
    <col min="3" max="5" width="7.5" style="63" bestFit="1" customWidth="1"/>
    <col min="6" max="6" width="7.875" style="63" bestFit="1" customWidth="1"/>
    <col min="7" max="7" width="6.375" style="63" bestFit="1" customWidth="1"/>
    <col min="8" max="8" width="4.875" style="64" customWidth="1"/>
    <col min="9" max="9" width="15.375" style="64" bestFit="1" customWidth="1"/>
    <col min="10" max="12" width="7.5" style="64" bestFit="1" customWidth="1"/>
    <col min="13" max="14" width="6.375" style="64" bestFit="1" customWidth="1"/>
    <col min="15" max="15" width="3.625" style="64" customWidth="1"/>
    <col min="16" max="16" width="16.875" style="64" bestFit="1" customWidth="1"/>
    <col min="17" max="19" width="7.5" style="64" bestFit="1" customWidth="1"/>
    <col min="20" max="20" width="6.375" style="64" bestFit="1" customWidth="1"/>
    <col min="21" max="21" width="6.125" style="64" bestFit="1" customWidth="1"/>
    <col min="22" max="16384" width="10.875" style="64"/>
  </cols>
  <sheetData>
    <row r="2" spans="2:26" ht="12.75" thickBot="1" x14ac:dyDescent="0.25"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</row>
    <row r="3" spans="2:26" ht="12.75" customHeight="1" thickBot="1" x14ac:dyDescent="0.25">
      <c r="B3" s="105" t="s">
        <v>96</v>
      </c>
      <c r="C3" s="106" t="str">
        <f>CONCATENATE(" Over ", $J$4)</f>
        <v xml:space="preserve"> Over HM16.20</v>
      </c>
      <c r="D3" s="107"/>
      <c r="E3" s="107"/>
      <c r="F3" s="107"/>
      <c r="G3" s="108"/>
      <c r="I3" s="77"/>
      <c r="J3" s="77"/>
      <c r="K3" s="77"/>
      <c r="L3" s="77"/>
      <c r="M3" s="77"/>
    </row>
    <row r="4" spans="2:26" ht="12.75" customHeight="1" thickBot="1" x14ac:dyDescent="0.25">
      <c r="B4" s="103" t="str">
        <f>$J$5</f>
        <v>HPM7.1</v>
      </c>
      <c r="C4" s="104" t="s">
        <v>14</v>
      </c>
      <c r="D4" s="79" t="s">
        <v>15</v>
      </c>
      <c r="E4" s="89" t="s">
        <v>16</v>
      </c>
      <c r="F4" s="79" t="s">
        <v>27</v>
      </c>
      <c r="G4" s="89" t="s">
        <v>28</v>
      </c>
      <c r="I4" s="77" t="s">
        <v>90</v>
      </c>
      <c r="J4" s="77" t="s">
        <v>94</v>
      </c>
      <c r="K4" s="77"/>
      <c r="L4" s="77"/>
      <c r="M4" s="77"/>
    </row>
    <row r="5" spans="2:26" ht="12.75" customHeight="1" x14ac:dyDescent="0.2">
      <c r="B5" s="66" t="str">
        <f>IPPP!$B$3</f>
        <v>Bulong_day_4k</v>
      </c>
      <c r="C5" s="80">
        <f>IPPP!$V$3</f>
        <v>-0.11908412489099895</v>
      </c>
      <c r="D5" s="81">
        <f>IPPP!$W$3</f>
        <v>0.14305097069348216</v>
      </c>
      <c r="E5" s="82">
        <f>IPPP!$X$3</f>
        <v>0.14275411445900077</v>
      </c>
      <c r="F5" s="83">
        <f>GEOMEAN(IPPP!$S$3:'IPPP'!$S$6)</f>
        <v>23.049642903430325</v>
      </c>
      <c r="G5" s="90">
        <f>GEOMEAN(IPPP!$T$3:'IPPP'!$T$6)</f>
        <v>1.233474734937793</v>
      </c>
      <c r="I5" s="77" t="s">
        <v>91</v>
      </c>
      <c r="J5" s="77" t="s">
        <v>171</v>
      </c>
      <c r="K5" s="77"/>
      <c r="L5" s="77"/>
      <c r="M5" s="77"/>
    </row>
    <row r="6" spans="2:26" ht="12.75" customHeight="1" x14ac:dyDescent="0.2">
      <c r="B6" s="67" t="str">
        <f>IPPP!$B$7</f>
        <v>Day_traffic_4k</v>
      </c>
      <c r="C6" s="68">
        <f>IPPP!$V$7</f>
        <v>-0.13697230572013885</v>
      </c>
      <c r="D6" s="69">
        <f>IPPP!$W$7</f>
        <v>0.1090381949722774</v>
      </c>
      <c r="E6" s="84">
        <f>IPPP!$X$7</f>
        <v>-5.5415701877105428E-2</v>
      </c>
      <c r="F6" s="70">
        <f>GEOMEAN(IPPP!$S$7:'IPPP'!$S$10)</f>
        <v>23.251261212642344</v>
      </c>
      <c r="G6" s="91">
        <f>GEOMEAN(IPPP!$T$7:'IPPP'!$T$10)</f>
        <v>1.4051239410746528</v>
      </c>
      <c r="I6" s="77"/>
      <c r="J6" s="77"/>
      <c r="K6" s="77"/>
      <c r="L6" s="77"/>
      <c r="M6" s="77"/>
    </row>
    <row r="7" spans="2:26" ht="12.75" customHeight="1" x14ac:dyDescent="0.2">
      <c r="B7" s="67" t="str">
        <f>IPPP!$B$11</f>
        <v>Indoor_people_4k</v>
      </c>
      <c r="C7" s="68">
        <f>IPPP!$V$11</f>
        <v>-0.19955799629949744</v>
      </c>
      <c r="D7" s="69">
        <f>IPPP!$W$11</f>
        <v>-0.15000761219572911</v>
      </c>
      <c r="E7" s="84">
        <f>IPPP!$X$11</f>
        <v>-0.1633857717211139</v>
      </c>
      <c r="F7" s="70">
        <f>GEOMEAN(IPPP!$S$11:'IPPP'!$S$14)</f>
        <v>8.8426045322402853</v>
      </c>
      <c r="G7" s="91">
        <f>GEOMEAN(IPPP!$T$11:'IPPP'!$T$14)</f>
        <v>1.2199473604490079</v>
      </c>
      <c r="L7" s="77"/>
      <c r="M7" s="77"/>
    </row>
    <row r="8" spans="2:26" ht="12.75" customHeight="1" x14ac:dyDescent="0.2">
      <c r="B8" s="67" t="str">
        <f>IPPP!$B$15</f>
        <v>Indoor_still_4k</v>
      </c>
      <c r="C8" s="68">
        <f>IPPP!$V$15</f>
        <v>-0.1369089286568832</v>
      </c>
      <c r="D8" s="69">
        <f>IPPP!$W$15</f>
        <v>4.5082809841912264E-2</v>
      </c>
      <c r="E8" s="84">
        <f>IPPP!$X$15</f>
        <v>5.0718349907872051E-2</v>
      </c>
      <c r="F8" s="70">
        <f>GEOMEAN(IPPP!$S$15:'IPPP'!$S$18)</f>
        <v>15.075258178714929</v>
      </c>
      <c r="G8" s="91">
        <f>GEOMEAN(IPPP!$T$15:'IPPP'!$T$18)</f>
        <v>1.1616382922451869</v>
      </c>
      <c r="I8" s="77" t="s">
        <v>93</v>
      </c>
      <c r="J8" s="77" t="s">
        <v>170</v>
      </c>
      <c r="K8" s="77"/>
      <c r="L8" s="77"/>
      <c r="M8" s="77"/>
    </row>
    <row r="9" spans="2:26" ht="12.75" customHeight="1" x14ac:dyDescent="0.2">
      <c r="B9" s="67" t="str">
        <f>IPPP!$B$19</f>
        <v>Night_traffic_4K</v>
      </c>
      <c r="C9" s="68">
        <f>IPPP!$V$19</f>
        <v>-0.15061878526253258</v>
      </c>
      <c r="D9" s="69">
        <f>IPPP!$W$19</f>
        <v>-4.9615369544438681E-2</v>
      </c>
      <c r="E9" s="84">
        <f>IPPP!$X$19</f>
        <v>-2.7147215066990582E-2</v>
      </c>
      <c r="F9" s="70">
        <f>GEOMEAN(IPPP!$S$19:'IPPP'!$S$22)</f>
        <v>13.765443984080198</v>
      </c>
      <c r="G9" s="91">
        <f>GEOMEAN(IPPP!$T$19:'IPPP'!$T$22)</f>
        <v>1.2527494787633744</v>
      </c>
      <c r="I9" s="77" t="s">
        <v>92</v>
      </c>
      <c r="J9" s="102"/>
      <c r="K9" s="77"/>
      <c r="L9" s="77"/>
      <c r="M9" s="77"/>
    </row>
    <row r="10" spans="2:26" ht="12.75" customHeight="1" thickBot="1" x14ac:dyDescent="0.25">
      <c r="B10" s="71" t="str">
        <f>IPPP!$B$23</f>
        <v>On_roof_4K</v>
      </c>
      <c r="C10" s="85">
        <f>IPPP!$V$23</f>
        <v>-0.14393058880331422</v>
      </c>
      <c r="D10" s="86">
        <f>IPPP!$W$23</f>
        <v>0.17188911984239108</v>
      </c>
      <c r="E10" s="87">
        <f>IPPP!$X$23</f>
        <v>0.18429281407611531</v>
      </c>
      <c r="F10" s="88">
        <f>GEOMEAN(IPPP!$S$23:'IPPP'!$S$26)</f>
        <v>22.594622097617066</v>
      </c>
      <c r="G10" s="92">
        <f>GEOMEAN(IPPP!$T$23:'IPPP'!$T$26)</f>
        <v>1.2883213518976275</v>
      </c>
      <c r="I10" s="77"/>
      <c r="J10" s="77"/>
      <c r="K10" s="77"/>
      <c r="L10" s="77"/>
      <c r="M10" s="77"/>
    </row>
    <row r="11" spans="2:26" ht="12.75" customHeight="1" x14ac:dyDescent="0.2">
      <c r="B11" s="67" t="str">
        <f>IPPP!$B$27</f>
        <v>Bulong_day_HD</v>
      </c>
      <c r="C11" s="68">
        <f>IPPP!$V$27</f>
        <v>-0.10322963076919678</v>
      </c>
      <c r="D11" s="69">
        <f>IPPP!$W$27</f>
        <v>0.18312026662566239</v>
      </c>
      <c r="E11" s="84">
        <f>IPPP!$X$27</f>
        <v>0.1981022507905339</v>
      </c>
      <c r="F11" s="70">
        <f>GEOMEAN(IPPP!$S$27:'IPPP'!$S$30)</f>
        <v>25.376201839016783</v>
      </c>
      <c r="G11" s="91">
        <f>GEOMEAN(IPPP!$T$27:'IPPP'!$T$30)</f>
        <v>1.2031884322098889</v>
      </c>
      <c r="I11" s="77"/>
      <c r="J11" s="77"/>
      <c r="K11" s="77"/>
      <c r="L11" s="77"/>
      <c r="M11" s="77"/>
    </row>
    <row r="12" spans="2:26" ht="12.75" customHeight="1" x14ac:dyDescent="0.2">
      <c r="B12" s="67" t="str">
        <f>IPPP!$B$31</f>
        <v>Indoor_people_HD</v>
      </c>
      <c r="C12" s="68">
        <f>IPPP!$V$31</f>
        <v>-0.15186328241019187</v>
      </c>
      <c r="D12" s="69">
        <f>IPPP!$W$31</f>
        <v>-1.4358185988652128E-2</v>
      </c>
      <c r="E12" s="84">
        <f>IPPP!$X$31</f>
        <v>-1.1329054450022302E-2</v>
      </c>
      <c r="F12" s="70">
        <f>GEOMEAN(IPPP!$S$31:'IPPP'!$S$34)</f>
        <v>19.461733372817601</v>
      </c>
      <c r="G12" s="91">
        <f>GEOMEAN(IPPP!$T$31:'IPPP'!$T$34)</f>
        <v>1.2159209483504434</v>
      </c>
      <c r="I12" s="77"/>
      <c r="J12" s="77"/>
      <c r="K12" s="77"/>
      <c r="L12" s="77"/>
      <c r="M12" s="77"/>
    </row>
    <row r="13" spans="2:26" ht="12.75" customHeight="1" x14ac:dyDescent="0.2">
      <c r="B13" s="67" t="str">
        <f>IPPP!$B$35</f>
        <v>Outdoor_crowd_HD</v>
      </c>
      <c r="C13" s="68">
        <f>IPPP!$V$35</f>
        <v>-9.8168686083759837E-2</v>
      </c>
      <c r="D13" s="69">
        <f>IPPP!$W$35</f>
        <v>7.4922417386669382E-2</v>
      </c>
      <c r="E13" s="84">
        <f>IPPP!$X$35</f>
        <v>7.5559049077537743E-2</v>
      </c>
      <c r="F13" s="70">
        <f>GEOMEAN(IPPP!$S$35:'IPPP'!$S$38)</f>
        <v>16.394967643023737</v>
      </c>
      <c r="G13" s="91">
        <f>GEOMEAN(IPPP!$T$35:'IPPP'!$T$38)</f>
        <v>1.0260720292174832</v>
      </c>
      <c r="I13" s="77"/>
      <c r="J13" s="77"/>
      <c r="K13" s="77"/>
      <c r="L13" s="77"/>
      <c r="M13" s="77"/>
    </row>
    <row r="14" spans="2:26" ht="12.75" customHeight="1" thickBot="1" x14ac:dyDescent="0.25">
      <c r="B14" s="71" t="str">
        <f>IPPP!$B$39</f>
        <v>Night_traffic_HD</v>
      </c>
      <c r="C14" s="85">
        <f>IPPP!$V$39</f>
        <v>-0.12171690985887307</v>
      </c>
      <c r="D14" s="86">
        <f>IPPP!$W$39</f>
        <v>9.2577796396725587E-2</v>
      </c>
      <c r="E14" s="87">
        <f>IPPP!$X$39</f>
        <v>0.25287764903722865</v>
      </c>
      <c r="F14" s="88">
        <f>GEOMEAN(IPPP!$S$39:'IPPP'!$S$42)</f>
        <v>20.593412365457908</v>
      </c>
      <c r="G14" s="92">
        <f>GEOMEAN(IPPP!$T$39:'IPPP'!$T$42)</f>
        <v>1.1943115775420301</v>
      </c>
      <c r="I14" s="77"/>
      <c r="J14" s="77"/>
      <c r="K14" s="77"/>
      <c r="L14" s="77"/>
      <c r="M14" s="77"/>
    </row>
    <row r="15" spans="2:26" ht="12.75" customHeight="1" x14ac:dyDescent="0.2">
      <c r="B15" s="93" t="s">
        <v>32</v>
      </c>
      <c r="C15" s="80">
        <f>AVERAGE(C5:C10)</f>
        <v>-0.1478454549388942</v>
      </c>
      <c r="D15" s="81">
        <f>AVERAGE(D5:D10)</f>
        <v>4.4906352268315852E-2</v>
      </c>
      <c r="E15" s="82">
        <f>AVERAGE(E5:E10)</f>
        <v>2.1969431629629704E-2</v>
      </c>
      <c r="F15" s="83">
        <f>AVERAGE(F5:F10)</f>
        <v>17.763138818120858</v>
      </c>
      <c r="G15" s="90">
        <f>AVERAGE(G5:G10)</f>
        <v>1.2602091932279404</v>
      </c>
      <c r="I15" s="77"/>
      <c r="J15" s="77"/>
      <c r="K15" s="77"/>
      <c r="L15" s="77"/>
      <c r="M15" s="77"/>
    </row>
    <row r="16" spans="2:26" ht="12.75" customHeight="1" thickBot="1" x14ac:dyDescent="0.25">
      <c r="B16" s="94" t="s">
        <v>33</v>
      </c>
      <c r="C16" s="85">
        <f>AVERAGE(C11:C14)</f>
        <v>-0.11874462728050539</v>
      </c>
      <c r="D16" s="86">
        <f t="shared" ref="D16:G16" si="0">AVERAGE(D11:D14)</f>
        <v>8.4065573605101307E-2</v>
      </c>
      <c r="E16" s="87">
        <f t="shared" si="0"/>
        <v>0.1288024736138195</v>
      </c>
      <c r="F16" s="88">
        <f t="shared" si="0"/>
        <v>20.456578805079008</v>
      </c>
      <c r="G16" s="92">
        <f t="shared" si="0"/>
        <v>1.1598732468299615</v>
      </c>
      <c r="H16" s="72"/>
      <c r="I16" s="77"/>
      <c r="J16" s="77"/>
      <c r="K16" s="77"/>
      <c r="L16" s="77"/>
      <c r="M16" s="77"/>
    </row>
    <row r="17" spans="1:13" ht="12.75" customHeight="1" thickBot="1" x14ac:dyDescent="0.25">
      <c r="B17" s="95" t="s">
        <v>31</v>
      </c>
      <c r="C17" s="85">
        <f>AVERAGE(C5:C14)</f>
        <v>-0.13620512387553868</v>
      </c>
      <c r="D17" s="86">
        <f>AVERAGE(D5:D14)</f>
        <v>6.0570040803030037E-2</v>
      </c>
      <c r="E17" s="87">
        <f>AVERAGE(E5:E14)</f>
        <v>6.4702648423305614E-2</v>
      </c>
      <c r="F17" s="88">
        <f>AVERAGE(F5:F14)</f>
        <v>18.840514812904118</v>
      </c>
      <c r="G17" s="92">
        <f>AVERAGE(G5:G14)</f>
        <v>1.2200748146687488</v>
      </c>
      <c r="H17" s="72"/>
      <c r="I17" s="77"/>
      <c r="J17" s="77"/>
      <c r="K17" s="77"/>
      <c r="L17" s="77"/>
      <c r="M17" s="77"/>
    </row>
    <row r="18" spans="1:13" s="73" customFormat="1" ht="12.75" customHeight="1" x14ac:dyDescent="0.2">
      <c r="B18" s="75"/>
      <c r="C18" s="76"/>
      <c r="D18" s="76"/>
      <c r="E18" s="76"/>
      <c r="F18" s="70"/>
      <c r="G18" s="70"/>
      <c r="H18" s="72"/>
      <c r="I18" s="77"/>
      <c r="J18" s="77"/>
      <c r="K18" s="77"/>
      <c r="L18" s="77"/>
      <c r="M18" s="77"/>
    </row>
    <row r="19" spans="1:13" ht="12.75" customHeight="1" thickBot="1" x14ac:dyDescent="0.25">
      <c r="B19" s="77"/>
      <c r="C19" s="77"/>
      <c r="D19" s="77"/>
      <c r="E19" s="77"/>
      <c r="F19" s="64"/>
      <c r="G19" s="64"/>
      <c r="I19" s="77"/>
      <c r="J19" s="77"/>
      <c r="K19" s="77"/>
      <c r="L19" s="77"/>
      <c r="M19" s="77"/>
    </row>
    <row r="20" spans="1:13" ht="12.75" customHeight="1" thickBot="1" x14ac:dyDescent="0.25">
      <c r="A20" s="77"/>
      <c r="B20" s="105" t="s">
        <v>97</v>
      </c>
      <c r="C20" s="106" t="str">
        <f>CONCATENATE(" Over ", $J$4)</f>
        <v xml:space="preserve"> Over HM16.20</v>
      </c>
      <c r="D20" s="107"/>
      <c r="E20" s="107"/>
      <c r="F20" s="107"/>
      <c r="G20" s="108"/>
    </row>
    <row r="21" spans="1:13" ht="12.75" customHeight="1" thickBot="1" x14ac:dyDescent="0.25">
      <c r="A21" s="77"/>
      <c r="B21" s="103" t="str">
        <f>$J$5</f>
        <v>HPM7.1</v>
      </c>
      <c r="C21" s="104" t="s">
        <v>14</v>
      </c>
      <c r="D21" s="79" t="s">
        <v>15</v>
      </c>
      <c r="E21" s="89" t="s">
        <v>16</v>
      </c>
      <c r="F21" s="79" t="s">
        <v>27</v>
      </c>
      <c r="G21" s="89" t="s">
        <v>28</v>
      </c>
    </row>
    <row r="22" spans="1:13" ht="12.75" customHeight="1" x14ac:dyDescent="0.2">
      <c r="A22" s="77"/>
      <c r="B22" s="66" t="str">
        <f>IPPPCRR!$B$3</f>
        <v>Bulong_day_4k</v>
      </c>
      <c r="C22" s="80">
        <f>IPPPCRR!$V$3</f>
        <v>-0.30255417657272166</v>
      </c>
      <c r="D22" s="81">
        <f>IPPPCRR!$W$3</f>
        <v>-8.5545188945043038E-2</v>
      </c>
      <c r="E22" s="82">
        <f>IPPPCRR!$X$3</f>
        <v>-8.5569008879288422E-2</v>
      </c>
      <c r="F22" s="83">
        <f>GEOMEAN(IPPPCRR!$S$3:'IPPPCRR'!$S$6)</f>
        <v>22.933166559454722</v>
      </c>
      <c r="G22" s="90">
        <f>GEOMEAN(IPPPCRR!$T$3:'IPPPCRR'!$T$6)</f>
        <v>1.2463980922440425</v>
      </c>
    </row>
    <row r="23" spans="1:13" ht="12.75" customHeight="1" x14ac:dyDescent="0.2">
      <c r="A23" s="77"/>
      <c r="B23" s="67" t="str">
        <f>IPPPCRR!$B$7</f>
        <v>Day_traffic_4k</v>
      </c>
      <c r="C23" s="68">
        <f>IPPPCRR!$V$7</f>
        <v>-0.26855028931572178</v>
      </c>
      <c r="D23" s="69">
        <f>IPPPCRR!$W$7</f>
        <v>-3.2750582001878192E-2</v>
      </c>
      <c r="E23" s="84">
        <f>IPPPCRR!$X$7</f>
        <v>-0.17921175029437686</v>
      </c>
      <c r="F23" s="70">
        <f>GEOMEAN(IPPPCRR!$S$7:'IPPPCRR'!$S$10)</f>
        <v>23.951268262955569</v>
      </c>
      <c r="G23" s="91">
        <f>GEOMEAN(IPPPCRR!$T$7:'IPPPCRR'!$T$10)</f>
        <v>1.4387588367709649</v>
      </c>
    </row>
    <row r="24" spans="1:13" ht="12.75" customHeight="1" x14ac:dyDescent="0.2">
      <c r="A24" s="77"/>
      <c r="B24" s="67" t="str">
        <f>IPPPCRR!$B$11</f>
        <v>Indoor_people_4k</v>
      </c>
      <c r="C24" s="68">
        <f>IPPPCRR!$V$11</f>
        <v>-0.35941359196052447</v>
      </c>
      <c r="D24" s="69">
        <f>IPPPCRR!$W$11</f>
        <v>-0.32114059012681373</v>
      </c>
      <c r="E24" s="84">
        <f>IPPPCRR!$X$11</f>
        <v>-0.33362803461097246</v>
      </c>
      <c r="F24" s="70">
        <f>GEOMEAN(IPPPCRR!$S$11:'IPPPCRR'!$S$14)</f>
        <v>8.9282200953651341</v>
      </c>
      <c r="G24" s="91">
        <f>GEOMEAN(IPPPCRR!$T$11:'IPPPCRR'!$T$14)</f>
        <v>1.210002386621162</v>
      </c>
    </row>
    <row r="25" spans="1:13" ht="12.75" customHeight="1" x14ac:dyDescent="0.2">
      <c r="A25" s="77"/>
      <c r="B25" s="67" t="str">
        <f>IPPPCRR!$B$15</f>
        <v>Indoor_still_4k</v>
      </c>
      <c r="C25" s="68">
        <f>IPPPCRR!$V$15</f>
        <v>-0.43513110571425384</v>
      </c>
      <c r="D25" s="69">
        <f>IPPPCRR!$W$15</f>
        <v>-0.26985106676172232</v>
      </c>
      <c r="E25" s="84">
        <f>IPPPCRR!$X$15</f>
        <v>-0.28705141594643235</v>
      </c>
      <c r="F25" s="70">
        <f>GEOMEAN(IPPPCRR!$S$15:'IPPPCRR'!$S$18)</f>
        <v>14.649067642841189</v>
      </c>
      <c r="G25" s="91">
        <f>GEOMEAN(IPPPCRR!$T$15:'IPPPCRR'!$T$18)</f>
        <v>1.167709765202277</v>
      </c>
    </row>
    <row r="26" spans="1:13" ht="12.75" customHeight="1" x14ac:dyDescent="0.2">
      <c r="A26" s="77"/>
      <c r="B26" s="67" t="str">
        <f>IPPPCRR!$B$19</f>
        <v>Night_traffic_4K</v>
      </c>
      <c r="C26" s="68">
        <f>IPPPCRR!$V$19</f>
        <v>-0.27783049520153136</v>
      </c>
      <c r="D26" s="69">
        <f>IPPPCRR!$W$19</f>
        <v>-0.11330082814516917</v>
      </c>
      <c r="E26" s="84">
        <f>IPPPCRR!$X$19</f>
        <v>-0.17785070883654008</v>
      </c>
      <c r="F26" s="70">
        <f>GEOMEAN(IPPPCRR!$S$19:'IPPPCRR'!$S$22)</f>
        <v>14.241679183157549</v>
      </c>
      <c r="G26" s="91">
        <f>GEOMEAN(IPPPCRR!$T$19:'IPPPCRR'!$T$22)</f>
        <v>1.2730422759623539</v>
      </c>
    </row>
    <row r="27" spans="1:13" ht="12.75" customHeight="1" thickBot="1" x14ac:dyDescent="0.25">
      <c r="A27" s="77"/>
      <c r="B27" s="71" t="str">
        <f>IPPPCRR!$B$23</f>
        <v>On_roof_4K</v>
      </c>
      <c r="C27" s="85">
        <f>IPPPCRR!$V$23</f>
        <v>-0.25541613126079388</v>
      </c>
      <c r="D27" s="86">
        <f>IPPPCRR!$W$23</f>
        <v>2.2735275523777299E-2</v>
      </c>
      <c r="E27" s="87">
        <f>IPPPCRR!$X$23</f>
        <v>4.1184976899995673E-2</v>
      </c>
      <c r="F27" s="88">
        <f>GEOMEAN(IPPPCRR!$S$23:'IPPPCRR'!$S$26)</f>
        <v>22.990171834592445</v>
      </c>
      <c r="G27" s="92">
        <f>GEOMEAN(IPPPCRR!$T$23:'IPPPCRR'!$T$26)</f>
        <v>1.3261737502500699</v>
      </c>
    </row>
    <row r="28" spans="1:13" ht="12.75" customHeight="1" x14ac:dyDescent="0.2">
      <c r="A28" s="77"/>
      <c r="B28" s="67" t="str">
        <f>IPPPCRR!$B$27</f>
        <v>Bulong_day_HD</v>
      </c>
      <c r="C28" s="68">
        <f>IPPPCRR!$V$27</f>
        <v>-0.26439624870081557</v>
      </c>
      <c r="D28" s="69">
        <f>IPPPCRR!$W$27</f>
        <v>-1.0313975846287016E-2</v>
      </c>
      <c r="E28" s="84">
        <f>IPPPCRR!$X$27</f>
        <v>7.8458962564631474E-3</v>
      </c>
      <c r="F28" s="70">
        <f>GEOMEAN(IPPPCRR!$S$27:'IPPPCRR'!$S$30)</f>
        <v>25.487335749709764</v>
      </c>
      <c r="G28" s="91">
        <f>GEOMEAN(IPPPCRR!$T$27:'IPPPCRR'!$T$30)</f>
        <v>1.2376015292304967</v>
      </c>
    </row>
    <row r="29" spans="1:13" ht="12.75" customHeight="1" x14ac:dyDescent="0.2">
      <c r="A29" s="77"/>
      <c r="B29" s="67" t="str">
        <f>IPPPCRR!$B$31</f>
        <v>Indoor_people_HD</v>
      </c>
      <c r="C29" s="68">
        <f>IPPPCRR!$V$31</f>
        <v>-0.23105548991612168</v>
      </c>
      <c r="D29" s="69">
        <f>IPPPCRR!$W$31</f>
        <v>-0.12763044155200742</v>
      </c>
      <c r="E29" s="84">
        <f>IPPPCRR!$X$31</f>
        <v>-0.11554211926530578</v>
      </c>
      <c r="F29" s="70">
        <f>GEOMEAN(IPPPCRR!$S$31:'IPPPCRR'!$S$34)</f>
        <v>19.99192143018082</v>
      </c>
      <c r="G29" s="91">
        <f>GEOMEAN(IPPPCRR!$T$31:'IPPPCRR'!$T$34)</f>
        <v>1.2328799138656152</v>
      </c>
    </row>
    <row r="30" spans="1:13" ht="12.75" customHeight="1" x14ac:dyDescent="0.2">
      <c r="A30" s="77"/>
      <c r="B30" s="67" t="str">
        <f>IPPPCRR!$B$35</f>
        <v>Outdoor_crowd_HD</v>
      </c>
      <c r="C30" s="68">
        <f>IPPPCRR!$V$35</f>
        <v>-0.47373590394272513</v>
      </c>
      <c r="D30" s="69">
        <f>IPPPCRR!$W$35</f>
        <v>-0.38668707108966749</v>
      </c>
      <c r="E30" s="84">
        <f>IPPPCRR!$X$35</f>
        <v>-0.41352714959673409</v>
      </c>
      <c r="F30" s="70">
        <f>GEOMEAN(IPPPCRR!$S$35:'IPPPCRR'!$S$38)</f>
        <v>15.995572930988537</v>
      </c>
      <c r="G30" s="91">
        <f>GEOMEAN(IPPPCRR!$T$35:'IPPPCRR'!$T$38)</f>
        <v>1.0434685124942504</v>
      </c>
    </row>
    <row r="31" spans="1:13" ht="12.75" customHeight="1" thickBot="1" x14ac:dyDescent="0.25">
      <c r="A31" s="77"/>
      <c r="B31" s="71" t="str">
        <f>IPPPCRR!$B$39</f>
        <v>Night_traffic_HD</v>
      </c>
      <c r="C31" s="85">
        <f>IPPPCRR!$V$39</f>
        <v>-0.26555570122460281</v>
      </c>
      <c r="D31" s="86">
        <f>IPPPCRR!$W$39</f>
        <v>-6.9834248462836035E-2</v>
      </c>
      <c r="E31" s="87">
        <f>IPPPCRR!$X$39</f>
        <v>5.9385551692049843E-2</v>
      </c>
      <c r="F31" s="88">
        <f>GEOMEAN(IPPPCRR!$S$39:'IPPPCRR'!$S$42)</f>
        <v>20.899185962228302</v>
      </c>
      <c r="G31" s="92">
        <f>GEOMEAN(IPPPCRR!$T$39:'IPPPCRR'!$T$42)</f>
        <v>1.2223681934802844</v>
      </c>
    </row>
    <row r="32" spans="1:13" ht="12.75" customHeight="1" x14ac:dyDescent="0.2">
      <c r="A32" s="77"/>
      <c r="B32" s="93" t="s">
        <v>32</v>
      </c>
      <c r="C32" s="80">
        <f>AVERAGE(C22:C27)</f>
        <v>-0.3164826316709245</v>
      </c>
      <c r="D32" s="81">
        <f>AVERAGE(D22:D27)</f>
        <v>-0.13330883007614153</v>
      </c>
      <c r="E32" s="82">
        <f>AVERAGE(E22:E27)</f>
        <v>-0.17035432361126909</v>
      </c>
      <c r="F32" s="83">
        <f>AVERAGE(F22:F27)</f>
        <v>17.948928929727767</v>
      </c>
      <c r="G32" s="90">
        <f>AVERAGE(G22:G27)</f>
        <v>1.2770141845084784</v>
      </c>
    </row>
    <row r="33" spans="1:13" ht="12.75" customHeight="1" thickBot="1" x14ac:dyDescent="0.25">
      <c r="A33" s="77"/>
      <c r="B33" s="94" t="s">
        <v>33</v>
      </c>
      <c r="C33" s="85">
        <f>AVERAGE(C28:C31)</f>
        <v>-0.3086858359460663</v>
      </c>
      <c r="D33" s="86">
        <f t="shared" ref="D33:G33" si="1">AVERAGE(D28:D31)</f>
        <v>-0.14861643423769949</v>
      </c>
      <c r="E33" s="87">
        <f t="shared" si="1"/>
        <v>-0.11545945522838172</v>
      </c>
      <c r="F33" s="88">
        <f t="shared" si="1"/>
        <v>20.593504018276853</v>
      </c>
      <c r="G33" s="92">
        <f t="shared" si="1"/>
        <v>1.1840795372676618</v>
      </c>
    </row>
    <row r="34" spans="1:13" ht="12.75" customHeight="1" thickBot="1" x14ac:dyDescent="0.25">
      <c r="A34" s="77"/>
      <c r="B34" s="95" t="s">
        <v>31</v>
      </c>
      <c r="C34" s="85">
        <f>AVERAGE(C22:C31)</f>
        <v>-0.31336391338098124</v>
      </c>
      <c r="D34" s="86">
        <f>AVERAGE(D22:D31)</f>
        <v>-0.13943187174076471</v>
      </c>
      <c r="E34" s="87">
        <f>AVERAGE(E22:E31)</f>
        <v>-0.14839637625811414</v>
      </c>
      <c r="F34" s="88">
        <f>AVERAGE(F22:F31)</f>
        <v>19.006758965147402</v>
      </c>
      <c r="G34" s="92">
        <f>AVERAGE(G22:G31)</f>
        <v>1.2398403256121515</v>
      </c>
    </row>
    <row r="35" spans="1:13" ht="12.75" customHeight="1" x14ac:dyDescent="0.2">
      <c r="A35" s="77"/>
      <c r="B35" s="77"/>
      <c r="C35" s="77"/>
      <c r="D35" s="77"/>
      <c r="E35" s="77"/>
      <c r="F35" s="64"/>
      <c r="G35" s="64"/>
    </row>
    <row r="36" spans="1:13" ht="12.75" customHeight="1" x14ac:dyDescent="0.2">
      <c r="A36" s="77"/>
      <c r="B36" s="77"/>
      <c r="C36" s="77"/>
      <c r="D36" s="77"/>
      <c r="E36" s="77"/>
      <c r="F36" s="64"/>
      <c r="G36" s="64"/>
    </row>
    <row r="37" spans="1:13" ht="12.75" customHeight="1" x14ac:dyDescent="0.2">
      <c r="A37" s="77"/>
      <c r="B37" s="77"/>
      <c r="C37" s="77"/>
      <c r="D37" s="77"/>
      <c r="E37" s="77"/>
      <c r="F37" s="64"/>
      <c r="G37" s="64"/>
    </row>
    <row r="38" spans="1:13" ht="12.75" customHeight="1" x14ac:dyDescent="0.2">
      <c r="A38" s="77"/>
      <c r="B38" s="77"/>
      <c r="C38" s="77"/>
      <c r="D38" s="77"/>
      <c r="E38" s="77"/>
      <c r="F38" s="64"/>
      <c r="G38" s="64"/>
    </row>
    <row r="39" spans="1:13" ht="12.75" customHeight="1" x14ac:dyDescent="0.2">
      <c r="A39" s="77"/>
      <c r="B39" s="77"/>
      <c r="C39" s="77"/>
      <c r="D39" s="77"/>
      <c r="E39" s="77"/>
      <c r="F39" s="64"/>
      <c r="G39" s="64"/>
    </row>
    <row r="40" spans="1:13" ht="12.75" customHeight="1" x14ac:dyDescent="0.2">
      <c r="A40" s="77"/>
      <c r="B40" s="77"/>
      <c r="C40" s="77"/>
      <c r="D40" s="77"/>
      <c r="E40" s="77"/>
      <c r="F40" s="64"/>
      <c r="G40" s="64"/>
    </row>
    <row r="41" spans="1:13" ht="12.75" customHeight="1" x14ac:dyDescent="0.2">
      <c r="A41" s="77"/>
      <c r="B41" s="77"/>
      <c r="C41" s="77"/>
      <c r="D41" s="77"/>
      <c r="E41" s="77"/>
      <c r="F41" s="64"/>
      <c r="G41" s="64"/>
    </row>
    <row r="42" spans="1:13" ht="12.75" customHeight="1" x14ac:dyDescent="0.2">
      <c r="A42" s="77"/>
      <c r="B42" s="77"/>
      <c r="C42" s="77"/>
      <c r="D42" s="77"/>
      <c r="E42" s="77"/>
      <c r="F42" s="64"/>
      <c r="G42" s="64"/>
    </row>
    <row r="43" spans="1:13" ht="12.75" customHeight="1" x14ac:dyDescent="0.2">
      <c r="A43" s="77"/>
      <c r="B43" s="65"/>
      <c r="C43" s="65"/>
      <c r="D43" s="65"/>
      <c r="E43" s="65"/>
      <c r="F43" s="65"/>
      <c r="G43" s="65"/>
    </row>
    <row r="44" spans="1:13" ht="12.75" customHeight="1" x14ac:dyDescent="0.2">
      <c r="A44" s="65"/>
      <c r="B44" s="65"/>
      <c r="C44" s="65"/>
      <c r="D44" s="65"/>
      <c r="E44" s="65"/>
      <c r="F44" s="65"/>
      <c r="G44" s="65"/>
      <c r="H44" s="65"/>
      <c r="I44" s="77"/>
      <c r="J44" s="77"/>
      <c r="K44" s="77"/>
      <c r="L44" s="77"/>
      <c r="M44" s="77"/>
    </row>
    <row r="45" spans="1:13" ht="12.75" customHeight="1" x14ac:dyDescent="0.2">
      <c r="A45" s="65"/>
      <c r="B45" s="65"/>
      <c r="C45" s="65"/>
      <c r="D45" s="65"/>
      <c r="E45" s="65"/>
      <c r="F45" s="65"/>
      <c r="G45" s="65"/>
      <c r="H45" s="65"/>
      <c r="I45" s="77"/>
      <c r="J45" s="77"/>
      <c r="K45" s="77"/>
      <c r="L45" s="77"/>
      <c r="M45" s="77"/>
    </row>
    <row r="46" spans="1:13" ht="12.75" customHeight="1" x14ac:dyDescent="0.2">
      <c r="A46" s="65"/>
      <c r="B46" s="65"/>
      <c r="C46" s="65"/>
      <c r="D46" s="65"/>
      <c r="E46" s="65"/>
      <c r="F46" s="65"/>
      <c r="G46" s="65"/>
      <c r="H46" s="65"/>
      <c r="I46" s="77"/>
      <c r="J46" s="77"/>
      <c r="K46" s="77"/>
      <c r="L46" s="77"/>
      <c r="M46" s="77"/>
    </row>
    <row r="47" spans="1:13" ht="12.75" customHeight="1" x14ac:dyDescent="0.2">
      <c r="A47" s="65"/>
      <c r="B47" s="65"/>
      <c r="C47" s="65"/>
      <c r="D47" s="65"/>
      <c r="E47" s="65"/>
      <c r="F47" s="65"/>
      <c r="G47" s="65"/>
      <c r="H47" s="65"/>
      <c r="I47" s="77"/>
      <c r="J47" s="77"/>
      <c r="K47" s="77"/>
      <c r="L47" s="77"/>
      <c r="M47" s="77"/>
    </row>
    <row r="48" spans="1:13" ht="12.75" customHeight="1" x14ac:dyDescent="0.2">
      <c r="A48" s="65"/>
      <c r="B48" s="65"/>
      <c r="C48" s="65"/>
      <c r="D48" s="65"/>
      <c r="E48" s="65"/>
      <c r="F48" s="65"/>
      <c r="G48" s="65"/>
      <c r="H48" s="65"/>
      <c r="I48" s="77"/>
      <c r="J48" s="77"/>
      <c r="K48" s="77"/>
      <c r="L48" s="77"/>
      <c r="M48" s="77"/>
    </row>
    <row r="49" spans="1:26" ht="12.75" customHeight="1" x14ac:dyDescent="0.2">
      <c r="A49" s="65"/>
      <c r="B49" s="65"/>
      <c r="C49" s="65"/>
      <c r="D49" s="65"/>
      <c r="E49" s="65"/>
      <c r="F49" s="65"/>
      <c r="G49" s="65"/>
      <c r="H49" s="65"/>
      <c r="I49" s="77"/>
      <c r="J49" s="77"/>
      <c r="K49" s="77"/>
      <c r="L49" s="77"/>
      <c r="M49" s="77"/>
    </row>
    <row r="50" spans="1:26" ht="12.75" customHeight="1" x14ac:dyDescent="0.2">
      <c r="A50" s="65"/>
      <c r="B50" s="65"/>
      <c r="C50" s="65"/>
      <c r="D50" s="65"/>
      <c r="E50" s="65"/>
      <c r="F50" s="65"/>
      <c r="G50" s="65"/>
      <c r="H50" s="65"/>
      <c r="I50" s="77"/>
      <c r="J50" s="77"/>
      <c r="K50" s="77"/>
      <c r="L50" s="77"/>
      <c r="M50" s="77"/>
    </row>
    <row r="51" spans="1:26" ht="12.75" customHeight="1" x14ac:dyDescent="0.2">
      <c r="A51" s="65"/>
      <c r="B51" s="65"/>
      <c r="C51" s="65"/>
      <c r="D51" s="65"/>
      <c r="E51" s="65"/>
      <c r="F51" s="65"/>
      <c r="G51" s="65"/>
      <c r="H51" s="65"/>
      <c r="I51" s="77"/>
      <c r="J51" s="77"/>
      <c r="K51" s="77"/>
      <c r="L51" s="77"/>
      <c r="M51" s="77"/>
    </row>
    <row r="52" spans="1:26" ht="12.75" customHeight="1" x14ac:dyDescent="0.2">
      <c r="A52" s="65"/>
      <c r="B52" s="65"/>
      <c r="C52" s="65"/>
      <c r="D52" s="65"/>
      <c r="E52" s="65"/>
      <c r="F52" s="65"/>
      <c r="G52" s="65"/>
      <c r="H52" s="65"/>
      <c r="I52" s="77"/>
      <c r="J52" s="77"/>
      <c r="K52" s="77"/>
      <c r="L52" s="77"/>
      <c r="M52" s="77"/>
      <c r="N52" s="77"/>
      <c r="O52" s="77"/>
      <c r="P52" s="77"/>
      <c r="Q52" s="77"/>
      <c r="R52" s="77"/>
      <c r="S52" s="77"/>
      <c r="T52" s="77"/>
      <c r="U52" s="77"/>
      <c r="V52" s="77"/>
      <c r="W52" s="77"/>
      <c r="X52" s="77"/>
      <c r="Y52" s="77"/>
      <c r="Z52" s="77"/>
    </row>
    <row r="53" spans="1:26" ht="12.75" customHeight="1" x14ac:dyDescent="0.2">
      <c r="A53" s="65"/>
      <c r="B53" s="65"/>
      <c r="C53" s="65"/>
      <c r="D53" s="65"/>
      <c r="E53" s="65"/>
      <c r="F53" s="65"/>
      <c r="G53" s="65"/>
      <c r="H53" s="65"/>
      <c r="I53" s="77"/>
      <c r="J53" s="77"/>
      <c r="K53" s="77"/>
      <c r="L53" s="77"/>
      <c r="M53" s="77"/>
      <c r="N53" s="77"/>
      <c r="O53" s="77"/>
      <c r="P53" s="77"/>
      <c r="Q53" s="77"/>
      <c r="R53" s="77"/>
      <c r="S53" s="77"/>
      <c r="T53" s="77"/>
      <c r="U53" s="77"/>
      <c r="V53" s="77"/>
      <c r="W53" s="77"/>
      <c r="X53" s="77"/>
      <c r="Y53" s="77"/>
      <c r="Z53" s="77"/>
    </row>
    <row r="54" spans="1:26" ht="12.75" customHeight="1" x14ac:dyDescent="0.2">
      <c r="A54" s="65"/>
      <c r="B54" s="65"/>
      <c r="C54" s="65"/>
      <c r="D54" s="65"/>
      <c r="E54" s="65"/>
      <c r="F54" s="65"/>
      <c r="G54" s="65"/>
      <c r="H54" s="65"/>
      <c r="I54" s="77"/>
      <c r="J54" s="77"/>
      <c r="K54" s="77"/>
      <c r="L54" s="77"/>
      <c r="M54" s="77"/>
      <c r="N54" s="77"/>
      <c r="O54" s="77"/>
      <c r="P54" s="77"/>
      <c r="Q54" s="77"/>
      <c r="R54" s="77"/>
      <c r="S54" s="77"/>
      <c r="T54" s="77"/>
      <c r="U54" s="77"/>
      <c r="V54" s="77"/>
      <c r="W54" s="77"/>
      <c r="X54" s="77"/>
      <c r="Y54" s="77"/>
      <c r="Z54" s="77"/>
    </row>
    <row r="55" spans="1:26" ht="12.75" customHeight="1" x14ac:dyDescent="0.2">
      <c r="A55" s="65"/>
      <c r="B55" s="65"/>
      <c r="C55" s="65"/>
      <c r="D55" s="65"/>
      <c r="E55" s="65"/>
      <c r="F55" s="65"/>
      <c r="G55" s="65"/>
      <c r="H55" s="65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</row>
    <row r="56" spans="1:26" ht="12.75" customHeight="1" x14ac:dyDescent="0.2">
      <c r="A56" s="65"/>
      <c r="B56" s="65"/>
      <c r="C56" s="65"/>
      <c r="D56" s="65"/>
      <c r="E56" s="65"/>
      <c r="F56" s="65"/>
      <c r="G56" s="65"/>
      <c r="H56" s="65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</row>
    <row r="57" spans="1:26" ht="12.75" customHeight="1" x14ac:dyDescent="0.2">
      <c r="A57" s="65"/>
      <c r="B57" s="65"/>
      <c r="C57" s="65"/>
      <c r="D57" s="65"/>
      <c r="E57" s="65"/>
      <c r="F57" s="65"/>
      <c r="G57" s="65"/>
      <c r="H57" s="65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</row>
    <row r="58" spans="1:26" ht="12.75" customHeight="1" x14ac:dyDescent="0.2">
      <c r="A58" s="65"/>
      <c r="B58" s="65"/>
      <c r="C58" s="65"/>
      <c r="D58" s="65"/>
      <c r="E58" s="65"/>
      <c r="F58" s="65"/>
      <c r="G58" s="65"/>
      <c r="H58" s="65"/>
      <c r="I58" s="77"/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</row>
    <row r="59" spans="1:26" ht="12.75" customHeight="1" x14ac:dyDescent="0.2">
      <c r="A59" s="65"/>
      <c r="B59" s="65"/>
      <c r="C59" s="65"/>
      <c r="D59" s="65"/>
      <c r="E59" s="65"/>
      <c r="F59" s="65"/>
      <c r="G59" s="65"/>
      <c r="H59" s="65"/>
      <c r="I59" s="77"/>
      <c r="J59" s="77"/>
      <c r="K59" s="77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</row>
    <row r="60" spans="1:26" ht="12.75" customHeight="1" x14ac:dyDescent="0.2">
      <c r="A60" s="65"/>
      <c r="B60" s="65"/>
      <c r="C60" s="65"/>
      <c r="D60" s="65"/>
      <c r="E60" s="65"/>
      <c r="F60" s="65"/>
      <c r="G60" s="65"/>
      <c r="H60" s="65"/>
      <c r="I60" s="77"/>
      <c r="J60" s="77"/>
      <c r="K60" s="77"/>
      <c r="L60" s="77"/>
      <c r="M60" s="77"/>
      <c r="N60" s="77"/>
      <c r="O60" s="77"/>
      <c r="P60" s="77"/>
      <c r="Q60" s="77"/>
      <c r="R60" s="77"/>
      <c r="S60" s="77"/>
      <c r="T60" s="77"/>
      <c r="U60" s="77"/>
      <c r="V60" s="77"/>
      <c r="W60" s="77"/>
      <c r="X60" s="77"/>
      <c r="Y60" s="77"/>
      <c r="Z60" s="77"/>
    </row>
    <row r="61" spans="1:26" ht="12.75" customHeight="1" x14ac:dyDescent="0.2">
      <c r="A61" s="65"/>
      <c r="B61" s="65"/>
      <c r="C61" s="65"/>
      <c r="D61" s="65"/>
      <c r="E61" s="65"/>
      <c r="F61" s="65"/>
      <c r="G61" s="65"/>
      <c r="H61" s="65"/>
      <c r="I61" s="77"/>
      <c r="J61" s="77"/>
      <c r="K61" s="77"/>
      <c r="L61" s="77"/>
      <c r="M61" s="77"/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  <c r="Y61" s="77"/>
      <c r="Z61" s="77"/>
    </row>
    <row r="62" spans="1:26" ht="12.75" customHeight="1" x14ac:dyDescent="0.2">
      <c r="A62" s="65"/>
      <c r="B62" s="65"/>
      <c r="C62" s="65"/>
      <c r="D62" s="65"/>
      <c r="E62" s="65"/>
      <c r="F62" s="65"/>
      <c r="G62" s="65"/>
      <c r="H62" s="65"/>
      <c r="I62" s="77"/>
      <c r="J62" s="77"/>
      <c r="K62" s="77"/>
      <c r="L62" s="77"/>
      <c r="M62" s="77"/>
      <c r="N62" s="77"/>
      <c r="O62" s="77"/>
      <c r="P62" s="77"/>
      <c r="Q62" s="77"/>
      <c r="R62" s="77"/>
      <c r="S62" s="77"/>
      <c r="T62" s="77"/>
      <c r="U62" s="77"/>
      <c r="V62" s="77"/>
      <c r="W62" s="77"/>
      <c r="X62" s="77"/>
      <c r="Y62" s="77"/>
      <c r="Z62" s="77"/>
    </row>
    <row r="63" spans="1:26" ht="12.75" customHeight="1" x14ac:dyDescent="0.2">
      <c r="A63" s="65"/>
      <c r="B63" s="65"/>
      <c r="C63" s="65"/>
      <c r="D63" s="65"/>
      <c r="E63" s="65"/>
      <c r="F63" s="65"/>
      <c r="G63" s="65"/>
      <c r="H63" s="65"/>
      <c r="I63" s="77"/>
      <c r="J63" s="77"/>
      <c r="K63" s="77"/>
      <c r="L63" s="77"/>
      <c r="M63" s="77"/>
      <c r="N63" s="77"/>
      <c r="O63" s="77"/>
      <c r="P63" s="77"/>
      <c r="Q63" s="77"/>
      <c r="R63" s="77"/>
      <c r="S63" s="77"/>
      <c r="T63" s="77"/>
      <c r="U63" s="77"/>
      <c r="V63" s="77"/>
      <c r="W63" s="77"/>
      <c r="X63" s="77"/>
      <c r="Y63" s="77"/>
      <c r="Z63" s="77"/>
    </row>
    <row r="64" spans="1:26" ht="12.75" customHeight="1" x14ac:dyDescent="0.2">
      <c r="A64" s="65"/>
      <c r="B64" s="65"/>
      <c r="C64" s="65"/>
      <c r="D64" s="65"/>
      <c r="E64" s="65"/>
      <c r="F64" s="65"/>
      <c r="G64" s="65"/>
      <c r="H64" s="65"/>
      <c r="I64" s="77"/>
      <c r="J64" s="77"/>
      <c r="K64" s="77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</row>
    <row r="65" spans="1:26" ht="12.75" customHeight="1" x14ac:dyDescent="0.2">
      <c r="A65" s="65"/>
      <c r="B65" s="65"/>
      <c r="C65" s="65"/>
      <c r="D65" s="65"/>
      <c r="E65" s="65"/>
      <c r="F65" s="65"/>
      <c r="G65" s="65"/>
      <c r="H65" s="65"/>
      <c r="I65" s="77"/>
      <c r="J65" s="77"/>
      <c r="K65" s="77"/>
      <c r="L65" s="77"/>
      <c r="M65" s="77"/>
      <c r="N65" s="77"/>
      <c r="O65" s="77"/>
      <c r="P65" s="77"/>
      <c r="Q65" s="77"/>
      <c r="R65" s="77"/>
      <c r="S65" s="77"/>
      <c r="T65" s="77"/>
      <c r="U65" s="77"/>
      <c r="V65" s="77"/>
      <c r="W65" s="77"/>
      <c r="X65" s="77"/>
      <c r="Y65" s="77"/>
      <c r="Z65" s="77"/>
    </row>
    <row r="66" spans="1:26" ht="12.75" customHeight="1" x14ac:dyDescent="0.2">
      <c r="A66" s="65"/>
      <c r="B66" s="65"/>
      <c r="C66" s="65"/>
      <c r="D66" s="65"/>
      <c r="E66" s="65"/>
      <c r="F66" s="65"/>
      <c r="G66" s="65"/>
      <c r="H66" s="65"/>
      <c r="I66" s="77"/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7"/>
      <c r="U66" s="77"/>
      <c r="V66" s="77"/>
      <c r="W66" s="77"/>
      <c r="X66" s="77"/>
      <c r="Y66" s="77"/>
      <c r="Z66" s="77"/>
    </row>
    <row r="67" spans="1:26" ht="12.75" customHeight="1" x14ac:dyDescent="0.2">
      <c r="A67" s="65"/>
      <c r="B67" s="65"/>
      <c r="C67" s="65"/>
      <c r="D67" s="65"/>
      <c r="E67" s="65"/>
      <c r="F67" s="65"/>
      <c r="G67" s="65"/>
      <c r="H67" s="65"/>
      <c r="I67" s="77"/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</row>
    <row r="68" spans="1:26" ht="12.75" customHeight="1" x14ac:dyDescent="0.2">
      <c r="A68" s="65"/>
      <c r="B68" s="65"/>
      <c r="C68" s="65"/>
      <c r="D68" s="65"/>
      <c r="E68" s="65"/>
      <c r="F68" s="65"/>
      <c r="G68" s="65"/>
      <c r="H68" s="65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</row>
    <row r="69" spans="1:26" ht="12.75" customHeight="1" x14ac:dyDescent="0.2">
      <c r="A69" s="65"/>
      <c r="B69" s="65"/>
      <c r="C69" s="65"/>
      <c r="D69" s="65"/>
      <c r="E69" s="65"/>
      <c r="F69" s="65"/>
      <c r="G69" s="65"/>
      <c r="H69" s="65"/>
    </row>
    <row r="70" spans="1:26" ht="12.75" customHeight="1" x14ac:dyDescent="0.2">
      <c r="A70" s="65"/>
      <c r="B70" s="65"/>
      <c r="C70" s="65"/>
      <c r="D70" s="65"/>
      <c r="E70" s="65"/>
      <c r="F70" s="65"/>
      <c r="G70" s="65"/>
      <c r="H70" s="65"/>
    </row>
    <row r="71" spans="1:26" ht="12.75" customHeight="1" x14ac:dyDescent="0.2">
      <c r="A71" s="65"/>
      <c r="B71" s="65"/>
      <c r="C71" s="65"/>
      <c r="D71" s="65"/>
      <c r="E71" s="65"/>
      <c r="F71" s="65"/>
      <c r="G71" s="65"/>
      <c r="H71" s="65"/>
    </row>
    <row r="72" spans="1:26" ht="12.75" customHeight="1" x14ac:dyDescent="0.2">
      <c r="A72" s="65"/>
      <c r="B72" s="65"/>
      <c r="C72" s="65"/>
      <c r="D72" s="65"/>
      <c r="E72" s="65"/>
      <c r="F72" s="65"/>
      <c r="G72" s="65"/>
      <c r="H72" s="65"/>
    </row>
    <row r="73" spans="1:26" ht="12.75" customHeight="1" x14ac:dyDescent="0.2">
      <c r="A73" s="65"/>
      <c r="B73" s="65"/>
      <c r="C73" s="65"/>
      <c r="D73" s="65"/>
      <c r="E73" s="65"/>
      <c r="F73" s="65"/>
      <c r="G73" s="65"/>
      <c r="H73" s="65"/>
    </row>
    <row r="74" spans="1:26" ht="12.75" customHeight="1" x14ac:dyDescent="0.2">
      <c r="A74" s="65"/>
      <c r="B74" s="65"/>
      <c r="C74" s="65"/>
      <c r="D74" s="65"/>
      <c r="E74" s="65"/>
      <c r="F74" s="65"/>
      <c r="G74" s="65"/>
      <c r="H74" s="65"/>
    </row>
    <row r="75" spans="1:26" ht="12.75" customHeight="1" x14ac:dyDescent="0.2">
      <c r="A75" s="65"/>
      <c r="B75" s="65"/>
      <c r="C75" s="65"/>
      <c r="D75" s="65"/>
      <c r="E75" s="65"/>
      <c r="F75" s="65"/>
      <c r="G75" s="65"/>
      <c r="H75" s="65"/>
    </row>
    <row r="76" spans="1:26" ht="12.75" customHeight="1" x14ac:dyDescent="0.2">
      <c r="A76" s="65"/>
      <c r="B76" s="65"/>
      <c r="C76" s="65"/>
      <c r="D76" s="65"/>
      <c r="E76" s="65"/>
      <c r="F76" s="65"/>
      <c r="G76" s="65"/>
      <c r="H76" s="65"/>
    </row>
    <row r="77" spans="1:26" ht="12.75" customHeight="1" x14ac:dyDescent="0.2">
      <c r="A77" s="65"/>
      <c r="B77" s="65"/>
      <c r="C77" s="65"/>
      <c r="D77" s="65"/>
      <c r="E77" s="65"/>
      <c r="F77" s="65"/>
      <c r="G77" s="65"/>
      <c r="H77" s="65"/>
    </row>
    <row r="78" spans="1:26" ht="12.75" customHeight="1" x14ac:dyDescent="0.2">
      <c r="A78" s="65"/>
      <c r="B78" s="65"/>
      <c r="C78" s="65"/>
      <c r="D78" s="65"/>
      <c r="E78" s="65"/>
      <c r="F78" s="65"/>
      <c r="G78" s="65"/>
      <c r="H78" s="65"/>
    </row>
    <row r="79" spans="1:26" ht="12.75" customHeight="1" x14ac:dyDescent="0.2">
      <c r="A79" s="65"/>
      <c r="B79" s="65"/>
      <c r="C79" s="65"/>
      <c r="D79" s="65"/>
      <c r="E79" s="65"/>
      <c r="F79" s="65"/>
      <c r="G79" s="65"/>
      <c r="H79" s="65"/>
    </row>
    <row r="80" spans="1:26" ht="12.75" customHeight="1" x14ac:dyDescent="0.2">
      <c r="A80" s="65"/>
      <c r="B80" s="65"/>
      <c r="C80" s="65"/>
      <c r="D80" s="65"/>
      <c r="E80" s="65"/>
      <c r="F80" s="65"/>
      <c r="G80" s="65"/>
      <c r="H80" s="65"/>
    </row>
    <row r="81" spans="1:10" ht="12.75" customHeight="1" x14ac:dyDescent="0.2">
      <c r="A81" s="65"/>
      <c r="B81" s="65"/>
      <c r="C81" s="65"/>
      <c r="D81" s="65"/>
      <c r="E81" s="65"/>
      <c r="F81" s="65"/>
      <c r="G81" s="65"/>
      <c r="H81" s="65"/>
    </row>
    <row r="82" spans="1:10" ht="12.75" customHeight="1" x14ac:dyDescent="0.2">
      <c r="A82" s="65"/>
      <c r="B82" s="65"/>
      <c r="C82" s="65"/>
      <c r="D82" s="65"/>
      <c r="E82" s="65"/>
      <c r="F82" s="65"/>
      <c r="G82" s="65"/>
      <c r="H82" s="65"/>
    </row>
    <row r="83" spans="1:10" ht="12.75" customHeight="1" x14ac:dyDescent="0.2">
      <c r="A83" s="65"/>
      <c r="B83" s="65"/>
      <c r="C83" s="65"/>
      <c r="D83" s="65"/>
      <c r="E83" s="65"/>
      <c r="F83" s="65"/>
      <c r="G83" s="65"/>
      <c r="H83" s="65"/>
    </row>
    <row r="84" spans="1:10" ht="12.75" customHeight="1" x14ac:dyDescent="0.2">
      <c r="A84" s="65"/>
      <c r="B84" s="65"/>
      <c r="C84" s="65"/>
      <c r="D84" s="65"/>
      <c r="E84" s="65"/>
      <c r="F84" s="65"/>
      <c r="G84" s="65"/>
      <c r="H84" s="65"/>
    </row>
    <row r="85" spans="1:10" ht="12.75" customHeight="1" x14ac:dyDescent="0.2">
      <c r="A85" s="65"/>
      <c r="B85" s="65"/>
      <c r="C85" s="65"/>
      <c r="D85" s="65"/>
      <c r="E85" s="65"/>
      <c r="F85" s="65"/>
      <c r="G85" s="65"/>
      <c r="H85" s="65"/>
    </row>
    <row r="86" spans="1:10" ht="12.75" customHeight="1" x14ac:dyDescent="0.2">
      <c r="A86" s="65"/>
      <c r="B86" s="65"/>
      <c r="C86" s="65"/>
      <c r="D86" s="65"/>
      <c r="E86" s="65"/>
      <c r="F86" s="65"/>
      <c r="G86" s="65"/>
      <c r="H86" s="65"/>
      <c r="I86" s="65"/>
      <c r="J86" s="65"/>
    </row>
    <row r="87" spans="1:10" ht="12.75" customHeight="1" x14ac:dyDescent="0.2">
      <c r="A87" s="65"/>
      <c r="B87" s="65"/>
      <c r="C87" s="65"/>
      <c r="D87" s="65"/>
      <c r="E87" s="65"/>
      <c r="F87" s="65"/>
      <c r="G87" s="65"/>
      <c r="H87" s="65"/>
    </row>
    <row r="88" spans="1:10" ht="12.75" customHeight="1" x14ac:dyDescent="0.2">
      <c r="A88" s="65"/>
      <c r="B88" s="65"/>
      <c r="C88" s="65"/>
      <c r="D88" s="65"/>
      <c r="E88" s="65"/>
      <c r="F88" s="65"/>
      <c r="G88" s="65"/>
      <c r="H88" s="65"/>
    </row>
    <row r="89" spans="1:10" ht="12.75" customHeight="1" x14ac:dyDescent="0.2">
      <c r="A89" s="65"/>
      <c r="B89" s="65"/>
      <c r="C89" s="65"/>
      <c r="D89" s="65"/>
      <c r="E89" s="65"/>
      <c r="F89" s="65"/>
      <c r="G89" s="65"/>
      <c r="H89" s="65"/>
    </row>
    <row r="90" spans="1:10" ht="12.75" customHeight="1" x14ac:dyDescent="0.2">
      <c r="A90" s="65"/>
      <c r="B90" s="65"/>
      <c r="C90" s="65"/>
      <c r="D90" s="65"/>
      <c r="E90" s="65"/>
      <c r="F90" s="65"/>
      <c r="G90" s="65"/>
      <c r="H90" s="65"/>
    </row>
    <row r="91" spans="1:10" ht="12.75" customHeight="1" x14ac:dyDescent="0.2">
      <c r="A91" s="65"/>
      <c r="B91" s="65"/>
      <c r="C91" s="65"/>
      <c r="D91" s="65"/>
      <c r="E91" s="65"/>
      <c r="F91" s="65"/>
      <c r="G91" s="65"/>
      <c r="H91" s="65"/>
    </row>
    <row r="92" spans="1:10" ht="12.75" customHeight="1" x14ac:dyDescent="0.2">
      <c r="A92" s="65"/>
      <c r="B92" s="65"/>
      <c r="C92" s="65"/>
      <c r="D92" s="65"/>
      <c r="E92" s="65"/>
      <c r="F92" s="65"/>
      <c r="G92" s="65"/>
      <c r="H92" s="65"/>
    </row>
    <row r="93" spans="1:10" ht="12.75" customHeight="1" x14ac:dyDescent="0.2">
      <c r="A93" s="65"/>
      <c r="B93" s="65"/>
      <c r="C93" s="65"/>
      <c r="D93" s="65"/>
      <c r="E93" s="65"/>
      <c r="F93" s="65"/>
      <c r="G93" s="65"/>
      <c r="H93" s="65"/>
    </row>
    <row r="94" spans="1:10" ht="12.75" customHeight="1" x14ac:dyDescent="0.2">
      <c r="A94" s="65"/>
      <c r="B94" s="65"/>
      <c r="C94" s="65"/>
      <c r="D94" s="65"/>
      <c r="E94" s="65"/>
      <c r="F94" s="65"/>
      <c r="G94" s="65"/>
      <c r="H94" s="65"/>
    </row>
    <row r="95" spans="1:10" ht="12.75" customHeight="1" x14ac:dyDescent="0.2">
      <c r="A95" s="65"/>
      <c r="B95" s="65"/>
      <c r="C95" s="65"/>
      <c r="D95" s="65"/>
      <c r="E95" s="65"/>
      <c r="F95" s="65"/>
      <c r="G95" s="65"/>
      <c r="H95" s="65"/>
    </row>
    <row r="96" spans="1:10" ht="12.75" customHeight="1" x14ac:dyDescent="0.2">
      <c r="A96" s="65"/>
      <c r="B96" s="65"/>
      <c r="C96" s="65"/>
      <c r="D96" s="65"/>
      <c r="E96" s="65"/>
      <c r="F96" s="65"/>
      <c r="G96" s="65"/>
      <c r="H96" s="65"/>
    </row>
    <row r="97" spans="1:8" ht="12.75" customHeight="1" x14ac:dyDescent="0.2">
      <c r="A97" s="65"/>
      <c r="B97" s="65"/>
      <c r="C97" s="65"/>
      <c r="D97" s="65"/>
      <c r="E97" s="65"/>
      <c r="F97" s="65"/>
      <c r="G97" s="65"/>
      <c r="H97" s="65"/>
    </row>
    <row r="98" spans="1:8" ht="12.75" customHeight="1" x14ac:dyDescent="0.2">
      <c r="A98" s="65"/>
      <c r="B98" s="65"/>
      <c r="C98" s="65"/>
      <c r="D98" s="65"/>
      <c r="E98" s="65"/>
      <c r="F98" s="65"/>
      <c r="G98" s="65"/>
      <c r="H98" s="65"/>
    </row>
    <row r="99" spans="1:8" ht="12.75" customHeight="1" x14ac:dyDescent="0.2">
      <c r="A99" s="65"/>
      <c r="B99" s="65"/>
      <c r="C99" s="65"/>
      <c r="D99" s="65"/>
      <c r="E99" s="65"/>
      <c r="F99" s="65"/>
      <c r="G99" s="65"/>
      <c r="H99" s="65"/>
    </row>
    <row r="100" spans="1:8" ht="12.75" customHeight="1" x14ac:dyDescent="0.2">
      <c r="A100" s="65"/>
      <c r="B100" s="65"/>
      <c r="C100" s="65"/>
      <c r="D100" s="65"/>
      <c r="E100" s="65"/>
      <c r="F100" s="65"/>
      <c r="G100" s="65"/>
      <c r="H100" s="65"/>
    </row>
    <row r="101" spans="1:8" ht="12.75" customHeight="1" x14ac:dyDescent="0.2">
      <c r="A101" s="65"/>
      <c r="B101" s="65"/>
      <c r="C101" s="65"/>
      <c r="D101" s="65"/>
      <c r="E101" s="65"/>
      <c r="F101" s="65"/>
      <c r="G101" s="65"/>
      <c r="H101" s="65"/>
    </row>
    <row r="102" spans="1:8" ht="12.75" customHeight="1" x14ac:dyDescent="0.2">
      <c r="A102" s="65"/>
      <c r="B102" s="65"/>
      <c r="C102" s="65"/>
      <c r="D102" s="65"/>
      <c r="E102" s="65"/>
      <c r="F102" s="65"/>
      <c r="G102" s="65"/>
      <c r="H102" s="65"/>
    </row>
    <row r="103" spans="1:8" ht="12.75" customHeight="1" x14ac:dyDescent="0.2">
      <c r="A103" s="65"/>
      <c r="B103" s="65"/>
      <c r="C103" s="65"/>
      <c r="D103" s="65"/>
      <c r="E103" s="65"/>
      <c r="F103" s="65"/>
      <c r="G103" s="65"/>
      <c r="H103" s="65"/>
    </row>
    <row r="104" spans="1:8" ht="12.75" customHeight="1" x14ac:dyDescent="0.2">
      <c r="A104" s="65"/>
      <c r="B104" s="65"/>
      <c r="C104" s="65"/>
      <c r="D104" s="65"/>
      <c r="E104" s="65"/>
      <c r="F104" s="65"/>
      <c r="G104" s="65"/>
      <c r="H104" s="65"/>
    </row>
    <row r="105" spans="1:8" ht="12.75" customHeight="1" x14ac:dyDescent="0.2">
      <c r="A105" s="65"/>
      <c r="B105" s="65"/>
      <c r="C105" s="65"/>
      <c r="D105" s="65"/>
      <c r="E105" s="65"/>
      <c r="F105" s="65"/>
      <c r="G105" s="65"/>
      <c r="H105" s="65"/>
    </row>
    <row r="106" spans="1:8" ht="12.75" customHeight="1" x14ac:dyDescent="0.2">
      <c r="A106" s="65"/>
      <c r="B106" s="65"/>
      <c r="C106" s="65"/>
      <c r="D106" s="65"/>
      <c r="E106" s="65"/>
      <c r="F106" s="65"/>
      <c r="G106" s="65"/>
      <c r="H106" s="65"/>
    </row>
    <row r="107" spans="1:8" ht="12.75" customHeight="1" x14ac:dyDescent="0.2">
      <c r="A107" s="65"/>
      <c r="B107" s="65"/>
      <c r="C107" s="65"/>
      <c r="D107" s="65"/>
      <c r="E107" s="65"/>
      <c r="F107" s="65"/>
      <c r="G107" s="65"/>
      <c r="H107" s="65"/>
    </row>
    <row r="108" spans="1:8" ht="12.75" customHeight="1" x14ac:dyDescent="0.2">
      <c r="A108" s="65"/>
      <c r="B108" s="65"/>
      <c r="C108" s="65"/>
      <c r="D108" s="65"/>
      <c r="E108" s="65"/>
      <c r="F108" s="65"/>
      <c r="G108" s="65"/>
      <c r="H108" s="65"/>
    </row>
    <row r="109" spans="1:8" ht="12.75" customHeight="1" x14ac:dyDescent="0.2">
      <c r="A109" s="65"/>
      <c r="B109" s="65"/>
      <c r="C109" s="65"/>
      <c r="D109" s="65"/>
      <c r="E109" s="65"/>
      <c r="F109" s="65"/>
      <c r="G109" s="65"/>
      <c r="H109" s="65"/>
    </row>
    <row r="110" spans="1:8" ht="12.75" customHeight="1" x14ac:dyDescent="0.2">
      <c r="A110" s="65"/>
      <c r="B110" s="65"/>
      <c r="C110" s="65"/>
      <c r="D110" s="65"/>
      <c r="E110" s="65"/>
      <c r="F110" s="65"/>
      <c r="G110" s="65"/>
      <c r="H110" s="65"/>
    </row>
    <row r="111" spans="1:8" ht="12.75" customHeight="1" x14ac:dyDescent="0.2">
      <c r="A111" s="65"/>
      <c r="B111" s="65"/>
      <c r="C111" s="65"/>
      <c r="D111" s="65"/>
      <c r="E111" s="65"/>
      <c r="F111" s="65"/>
      <c r="G111" s="65"/>
      <c r="H111" s="65"/>
    </row>
    <row r="112" spans="1:8" ht="12.75" customHeight="1" x14ac:dyDescent="0.2">
      <c r="A112" s="65"/>
      <c r="B112" s="65"/>
      <c r="C112" s="65"/>
      <c r="D112" s="65"/>
      <c r="E112" s="65"/>
      <c r="F112" s="65"/>
      <c r="G112" s="65"/>
      <c r="H112" s="65"/>
    </row>
    <row r="113" spans="1:8" ht="12.75" customHeight="1" x14ac:dyDescent="0.2">
      <c r="A113" s="65"/>
      <c r="H113" s="65"/>
    </row>
    <row r="114" spans="1:8" ht="12.75" customHeight="1" x14ac:dyDescent="0.2"/>
    <row r="115" spans="1:8" ht="12.75" customHeight="1" x14ac:dyDescent="0.2"/>
    <row r="116" spans="1:8" ht="12.75" customHeight="1" x14ac:dyDescent="0.2"/>
    <row r="117" spans="1:8" ht="12.75" customHeight="1" x14ac:dyDescent="0.2"/>
    <row r="118" spans="1:8" ht="12.75" customHeight="1" x14ac:dyDescent="0.2"/>
    <row r="119" spans="1:8" ht="12.75" customHeight="1" x14ac:dyDescent="0.2"/>
    <row r="120" spans="1:8" ht="12.75" customHeight="1" x14ac:dyDescent="0.2"/>
    <row r="121" spans="1:8" ht="12.75" customHeight="1" x14ac:dyDescent="0.2"/>
    <row r="122" spans="1:8" ht="12.75" customHeight="1" x14ac:dyDescent="0.2"/>
  </sheetData>
  <mergeCells count="2">
    <mergeCell ref="C3:G3"/>
    <mergeCell ref="C20:G20"/>
  </mergeCells>
  <phoneticPr fontId="8" type="noConversion"/>
  <conditionalFormatting sqref="C17:E17 C5:E14">
    <cfRule type="cellIs" dxfId="211" priority="117" stopIfTrue="1" operator="greaterThan">
      <formula>0.03</formula>
    </cfRule>
    <cfRule type="cellIs" dxfId="210" priority="118" stopIfTrue="1" operator="lessThan">
      <formula>-0.03</formula>
    </cfRule>
  </conditionalFormatting>
  <conditionalFormatting sqref="C15:E15">
    <cfRule type="cellIs" dxfId="209" priority="115" stopIfTrue="1" operator="greaterThan">
      <formula>0.03</formula>
    </cfRule>
    <cfRule type="cellIs" dxfId="208" priority="116" stopIfTrue="1" operator="lessThan">
      <formula>-0.03</formula>
    </cfRule>
  </conditionalFormatting>
  <conditionalFormatting sqref="C16:E16">
    <cfRule type="cellIs" dxfId="207" priority="111" stopIfTrue="1" operator="greaterThan">
      <formula>0.03</formula>
    </cfRule>
    <cfRule type="cellIs" dxfId="206" priority="112" stopIfTrue="1" operator="lessThan">
      <formula>-0.03</formula>
    </cfRule>
  </conditionalFormatting>
  <conditionalFormatting sqref="C57:E57">
    <cfRule type="cellIs" dxfId="205" priority="85" stopIfTrue="1" operator="greaterThan">
      <formula>0.03</formula>
    </cfRule>
    <cfRule type="cellIs" dxfId="204" priority="86" stopIfTrue="1" operator="lessThan">
      <formula>-0.03</formula>
    </cfRule>
  </conditionalFormatting>
  <conditionalFormatting sqref="C55:E55">
    <cfRule type="cellIs" dxfId="203" priority="83" stopIfTrue="1" operator="greaterThan">
      <formula>0.03</formula>
    </cfRule>
    <cfRule type="cellIs" dxfId="202" priority="84" stopIfTrue="1" operator="lessThan">
      <formula>-0.03</formula>
    </cfRule>
  </conditionalFormatting>
  <conditionalFormatting sqref="C43:E54">
    <cfRule type="cellIs" dxfId="201" priority="81" stopIfTrue="1" operator="greaterThan">
      <formula>0.03</formula>
    </cfRule>
    <cfRule type="cellIs" dxfId="200" priority="82" stopIfTrue="1" operator="lessThan">
      <formula>-0.03</formula>
    </cfRule>
  </conditionalFormatting>
  <conditionalFormatting sqref="C56:E56">
    <cfRule type="cellIs" dxfId="199" priority="79" stopIfTrue="1" operator="greaterThan">
      <formula>0.03</formula>
    </cfRule>
    <cfRule type="cellIs" dxfId="198" priority="80" stopIfTrue="1" operator="lessThan">
      <formula>-0.03</formula>
    </cfRule>
  </conditionalFormatting>
  <conditionalFormatting sqref="C34:E34 C22:E31">
    <cfRule type="cellIs" dxfId="197" priority="5" stopIfTrue="1" operator="greaterThan">
      <formula>0.03</formula>
    </cfRule>
    <cfRule type="cellIs" dxfId="196" priority="6" stopIfTrue="1" operator="lessThan">
      <formula>-0.03</formula>
    </cfRule>
  </conditionalFormatting>
  <conditionalFormatting sqref="C32:E32">
    <cfRule type="cellIs" dxfId="195" priority="3" stopIfTrue="1" operator="greaterThan">
      <formula>0.03</formula>
    </cfRule>
    <cfRule type="cellIs" dxfId="194" priority="4" stopIfTrue="1" operator="lessThan">
      <formula>-0.03</formula>
    </cfRule>
  </conditionalFormatting>
  <conditionalFormatting sqref="C33:E33">
    <cfRule type="cellIs" dxfId="193" priority="1" stopIfTrue="1" operator="greaterThan">
      <formula>0.03</formula>
    </cfRule>
    <cfRule type="cellIs" dxfId="192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Q86"/>
  <sheetViews>
    <sheetView zoomScale="70" zoomScaleNormal="70" workbookViewId="0">
      <selection activeCell="B57" sqref="B57"/>
    </sheetView>
  </sheetViews>
  <sheetFormatPr defaultColWidth="8.875" defaultRowHeight="14.25" x14ac:dyDescent="0.15"/>
  <cols>
    <col min="2" max="2" width="21.375" customWidth="1"/>
    <col min="25" max="26" width="9" customWidth="1"/>
    <col min="27" max="27" width="16.375" style="29" bestFit="1" customWidth="1"/>
    <col min="28" max="39" width="9" customWidth="1"/>
  </cols>
  <sheetData>
    <row r="1" spans="1:43" ht="15" thickBot="1" x14ac:dyDescent="0.2">
      <c r="A1" t="s">
        <v>21</v>
      </c>
      <c r="AD1" t="s">
        <v>19</v>
      </c>
      <c r="AI1" t="s">
        <v>20</v>
      </c>
      <c r="AN1" t="s">
        <v>26</v>
      </c>
    </row>
    <row r="2" spans="1:43" ht="15.75" thickBot="1" x14ac:dyDescent="0.25">
      <c r="A2" s="28" t="s">
        <v>95</v>
      </c>
      <c r="B2" s="28" t="s">
        <v>82</v>
      </c>
      <c r="AD2" s="5" t="s">
        <v>7</v>
      </c>
      <c r="AE2" s="6" t="s">
        <v>8</v>
      </c>
      <c r="AF2" s="6" t="s">
        <v>9</v>
      </c>
      <c r="AG2" s="6" t="s">
        <v>10</v>
      </c>
      <c r="AI2" s="5" t="s">
        <v>7</v>
      </c>
      <c r="AJ2" s="6" t="s">
        <v>8</v>
      </c>
      <c r="AK2" s="6" t="s">
        <v>9</v>
      </c>
      <c r="AL2" s="6" t="s">
        <v>10</v>
      </c>
      <c r="AN2" s="5" t="s">
        <v>7</v>
      </c>
      <c r="AO2" s="6" t="s">
        <v>8</v>
      </c>
      <c r="AP2" s="6" t="s">
        <v>9</v>
      </c>
      <c r="AQ2" s="6" t="s">
        <v>10</v>
      </c>
    </row>
    <row r="3" spans="1:43" ht="15" x14ac:dyDescent="0.2">
      <c r="Z3" t="s">
        <v>98</v>
      </c>
      <c r="AA3" s="20" t="s">
        <v>44</v>
      </c>
      <c r="AB3">
        <v>3</v>
      </c>
      <c r="AC3">
        <f>VLOOKUP(B2,AA3:AB43,2,FALSE)</f>
        <v>19</v>
      </c>
      <c r="AD3">
        <f ca="1">INDIRECT("'"&amp;$A$2&amp;"'!"&amp;ADDRESS($AC3,4))</f>
        <v>15987.6576</v>
      </c>
      <c r="AE3">
        <f ca="1">INDIRECT("'"&amp;$A$2&amp;"'!"&amp;ADDRESS($AC3,5))</f>
        <v>36.108499999999999</v>
      </c>
      <c r="AF3">
        <f ca="1">INDIRECT("'"&amp;$A$2&amp;"'!"&amp;ADDRESS($AC3,6))</f>
        <v>44.691600000000001</v>
      </c>
      <c r="AG3">
        <f ca="1">INDIRECT("'"&amp;$A$2&amp;"'!"&amp;ADDRESS($AC3,7))</f>
        <v>45.419699999999999</v>
      </c>
      <c r="AI3">
        <f ca="1">INDIRECT("'"&amp;$A$2&amp;"'!"&amp;ADDRESS($AC3,12))</f>
        <v>17548.3256</v>
      </c>
      <c r="AJ3">
        <f ca="1">INDIRECT("'"&amp;$A$2&amp;"'!"&amp;ADDRESS($AC3,13))</f>
        <v>36.762799999999999</v>
      </c>
      <c r="AK3">
        <f ca="1">INDIRECT("'"&amp;$A$2&amp;"'!"&amp;ADDRESS($AC3,14))</f>
        <v>44.984400000000001</v>
      </c>
      <c r="AL3">
        <f ca="1">INDIRECT("'"&amp;$A$2&amp;"'!"&amp;ADDRESS($AC3,15))</f>
        <v>45.610399999999998</v>
      </c>
      <c r="AN3">
        <f ca="1">INDIRECT("'"&amp;$A$2&amp;"'!"&amp;ADDRESS($AC3,29))</f>
        <v>0</v>
      </c>
      <c r="AO3">
        <f ca="1">INDIRECT("'"&amp;$A$2&amp;"'!"&amp;ADDRESS($AC3,30))</f>
        <v>0</v>
      </c>
      <c r="AP3">
        <f ca="1">INDIRECT("'"&amp;$A$2&amp;"'!"&amp;ADDRESS($AC3,31))</f>
        <v>0</v>
      </c>
      <c r="AQ3">
        <f ca="1">INDIRECT("'"&amp;$A$2&amp;"'!"&amp;ADDRESS($AC3,32))</f>
        <v>0</v>
      </c>
    </row>
    <row r="4" spans="1:43" ht="15" x14ac:dyDescent="0.2">
      <c r="Z4" t="s">
        <v>99</v>
      </c>
      <c r="AA4" s="20" t="s">
        <v>45</v>
      </c>
      <c r="AB4">
        <f>AB3+4</f>
        <v>7</v>
      </c>
      <c r="AC4">
        <f>AC3+1</f>
        <v>20</v>
      </c>
      <c r="AD4">
        <f ca="1">INDIRECT("'"&amp;$A$2&amp;"'!"&amp;ADDRESS($AC4,4))</f>
        <v>5909.9704000000002</v>
      </c>
      <c r="AE4">
        <f ca="1">INDIRECT("'"&amp;$A$2&amp;"'!"&amp;ADDRESS($AC4,5))</f>
        <v>33.332299999999996</v>
      </c>
      <c r="AF4">
        <f ca="1">INDIRECT("'"&amp;$A$2&amp;"'!"&amp;ADDRESS($AC4,6))</f>
        <v>42.618499999999997</v>
      </c>
      <c r="AG4">
        <f ca="1">INDIRECT("'"&amp;$A$2&amp;"'!"&amp;ADDRESS($AC4,7))</f>
        <v>43.811</v>
      </c>
      <c r="AI4">
        <f ca="1">INDIRECT("'"&amp;$A$2&amp;"'!"&amp;ADDRESS($AC4,12))</f>
        <v>6786.2951999999996</v>
      </c>
      <c r="AJ4">
        <f ca="1">INDIRECT("'"&amp;$A$2&amp;"'!"&amp;ADDRESS($AC4,13))</f>
        <v>34.1282</v>
      </c>
      <c r="AK4">
        <f ca="1">INDIRECT("'"&amp;$A$2&amp;"'!"&amp;ADDRESS($AC4,14))</f>
        <v>43.188200000000002</v>
      </c>
      <c r="AL4">
        <f ca="1">INDIRECT("'"&amp;$A$2&amp;"'!"&amp;ADDRESS($AC4,15))</f>
        <v>44.233699999999999</v>
      </c>
      <c r="AN4">
        <f ca="1">INDIRECT("'"&amp;$A$2&amp;"'!"&amp;ADDRESS($AC4,29))</f>
        <v>0</v>
      </c>
      <c r="AO4">
        <f ca="1">INDIRECT("'"&amp;$A$2&amp;"'!"&amp;ADDRESS($AC4,30))</f>
        <v>0</v>
      </c>
      <c r="AP4">
        <f ca="1">INDIRECT("'"&amp;$A$2&amp;"'!"&amp;ADDRESS($AC4,31))</f>
        <v>0</v>
      </c>
      <c r="AQ4">
        <f ca="1">INDIRECT("'"&amp;$A$2&amp;"'!"&amp;ADDRESS($AC4,32))</f>
        <v>0</v>
      </c>
    </row>
    <row r="5" spans="1:43" ht="15" x14ac:dyDescent="0.2">
      <c r="AA5" s="20" t="s">
        <v>46</v>
      </c>
      <c r="AB5">
        <f t="shared" ref="AB5:AB12" si="0">AB4+4</f>
        <v>11</v>
      </c>
      <c r="AC5">
        <f>AC4+1</f>
        <v>21</v>
      </c>
      <c r="AD5">
        <f ca="1">INDIRECT("'"&amp;$A$2&amp;"'!"&amp;ADDRESS($AC5,4))</f>
        <v>2427.7840000000001</v>
      </c>
      <c r="AE5">
        <f ca="1">INDIRECT("'"&amp;$A$2&amp;"'!"&amp;ADDRESS($AC5,5))</f>
        <v>30.8064</v>
      </c>
      <c r="AF5">
        <f ca="1">INDIRECT("'"&amp;$A$2&amp;"'!"&amp;ADDRESS($AC5,6))</f>
        <v>41.092100000000002</v>
      </c>
      <c r="AG5">
        <f ca="1">INDIRECT("'"&amp;$A$2&amp;"'!"&amp;ADDRESS($AC5,7))</f>
        <v>42.7986</v>
      </c>
      <c r="AI5">
        <f ca="1">INDIRECT("'"&amp;$A$2&amp;"'!"&amp;ADDRESS($AC5,12))</f>
        <v>2568.8184000000001</v>
      </c>
      <c r="AJ5">
        <f ca="1">INDIRECT("'"&amp;$A$2&amp;"'!"&amp;ADDRESS($AC5,13))</f>
        <v>31.446400000000001</v>
      </c>
      <c r="AK5">
        <f ca="1">INDIRECT("'"&amp;$A$2&amp;"'!"&amp;ADDRESS($AC5,14))</f>
        <v>41.211599999999997</v>
      </c>
      <c r="AL5">
        <f ca="1">INDIRECT("'"&amp;$A$2&amp;"'!"&amp;ADDRESS($AC5,15))</f>
        <v>42.808399999999999</v>
      </c>
      <c r="AN5">
        <f ca="1">INDIRECT("'"&amp;$A$2&amp;"'!"&amp;ADDRESS($AC5,29))</f>
        <v>0</v>
      </c>
      <c r="AO5">
        <f ca="1">INDIRECT("'"&amp;$A$2&amp;"'!"&amp;ADDRESS($AC5,30))</f>
        <v>0</v>
      </c>
      <c r="AP5">
        <f ca="1">INDIRECT("'"&amp;$A$2&amp;"'!"&amp;ADDRESS($AC5,31))</f>
        <v>0</v>
      </c>
      <c r="AQ5">
        <f ca="1">INDIRECT("'"&amp;$A$2&amp;"'!"&amp;ADDRESS($AC5,32))</f>
        <v>0</v>
      </c>
    </row>
    <row r="6" spans="1:43" ht="15" x14ac:dyDescent="0.2">
      <c r="AA6" s="20" t="s">
        <v>47</v>
      </c>
      <c r="AB6">
        <f t="shared" si="0"/>
        <v>15</v>
      </c>
      <c r="AC6">
        <f>AC5+1</f>
        <v>22</v>
      </c>
      <c r="AD6">
        <f ca="1">INDIRECT("'"&amp;$A$2&amp;"'!"&amp;ADDRESS($AC6,4))</f>
        <v>978.87199999999996</v>
      </c>
      <c r="AE6">
        <f ca="1">INDIRECT("'"&amp;$A$2&amp;"'!"&amp;ADDRESS($AC6,5))</f>
        <v>28.2912</v>
      </c>
      <c r="AF6">
        <f ca="1">INDIRECT("'"&amp;$A$2&amp;"'!"&amp;ADDRESS($AC6,6))</f>
        <v>39.856200000000001</v>
      </c>
      <c r="AG6">
        <f ca="1">INDIRECT("'"&amp;$A$2&amp;"'!"&amp;ADDRESS($AC6,7))</f>
        <v>41.797400000000003</v>
      </c>
      <c r="AI6">
        <f ca="1">INDIRECT("'"&amp;$A$2&amp;"'!"&amp;ADDRESS($AC6,12))</f>
        <v>971.16800000000001</v>
      </c>
      <c r="AJ6">
        <f ca="1">INDIRECT("'"&amp;$A$2&amp;"'!"&amp;ADDRESS($AC6,13))</f>
        <v>28.828299999999999</v>
      </c>
      <c r="AK6">
        <f ca="1">INDIRECT("'"&amp;$A$2&amp;"'!"&amp;ADDRESS($AC6,14))</f>
        <v>39.1937</v>
      </c>
      <c r="AL6">
        <f ca="1">INDIRECT("'"&amp;$A$2&amp;"'!"&amp;ADDRESS($AC6,15))</f>
        <v>41.220500000000001</v>
      </c>
      <c r="AN6">
        <f ca="1">INDIRECT("'"&amp;$A$2&amp;"'!"&amp;ADDRESS($AC6,29))</f>
        <v>0</v>
      </c>
      <c r="AO6">
        <f ca="1">INDIRECT("'"&amp;$A$2&amp;"'!"&amp;ADDRESS($AC6,30))</f>
        <v>0</v>
      </c>
      <c r="AP6">
        <f ca="1">INDIRECT("'"&amp;$A$2&amp;"'!"&amp;ADDRESS($AC6,31))</f>
        <v>0</v>
      </c>
      <c r="AQ6">
        <f ca="1">INDIRECT("'"&amp;$A$2&amp;"'!"&amp;ADDRESS($AC6,32))</f>
        <v>0</v>
      </c>
    </row>
    <row r="7" spans="1:43" ht="15" x14ac:dyDescent="0.2">
      <c r="AA7" s="20" t="s">
        <v>82</v>
      </c>
      <c r="AB7">
        <f t="shared" si="0"/>
        <v>19</v>
      </c>
    </row>
    <row r="8" spans="1:43" ht="15" x14ac:dyDescent="0.2">
      <c r="AA8" s="20" t="s">
        <v>84</v>
      </c>
      <c r="AB8">
        <f t="shared" si="0"/>
        <v>23</v>
      </c>
      <c r="AD8" t="str">
        <f>"Sequence: "&amp;B2 &amp; "     Coding Conditions: " &amp; A2</f>
        <v>Sequence: Night_traffic_4K     Coding Conditions: IPPP</v>
      </c>
    </row>
    <row r="9" spans="1:43" ht="15" x14ac:dyDescent="0.2">
      <c r="AA9" s="20" t="s">
        <v>50</v>
      </c>
      <c r="AB9">
        <f t="shared" si="0"/>
        <v>27</v>
      </c>
    </row>
    <row r="10" spans="1:43" ht="15" x14ac:dyDescent="0.2">
      <c r="AA10" s="20" t="s">
        <v>51</v>
      </c>
      <c r="AB10">
        <f t="shared" si="0"/>
        <v>31</v>
      </c>
    </row>
    <row r="11" spans="1:43" ht="15" x14ac:dyDescent="0.2">
      <c r="AA11" s="20" t="s">
        <v>49</v>
      </c>
      <c r="AB11">
        <f t="shared" si="0"/>
        <v>35</v>
      </c>
      <c r="AD11" t="s">
        <v>22</v>
      </c>
      <c r="AE11" t="s">
        <v>23</v>
      </c>
      <c r="AF11" t="s">
        <v>24</v>
      </c>
      <c r="AG11" t="s">
        <v>25</v>
      </c>
    </row>
    <row r="12" spans="1:43" ht="15" x14ac:dyDescent="0.2">
      <c r="AA12" s="20" t="s">
        <v>48</v>
      </c>
      <c r="AB12">
        <f t="shared" si="0"/>
        <v>39</v>
      </c>
      <c r="AD12" s="30">
        <f ca="1">MAX(AD3:AD6,AI3:AI6)</f>
        <v>17548.3256</v>
      </c>
      <c r="AE12" s="30">
        <f t="shared" ref="AE12:AG12" ca="1" si="1">MAX(AE3:AE6,AJ3:AJ6)</f>
        <v>36.762799999999999</v>
      </c>
      <c r="AF12" s="30">
        <f t="shared" ca="1" si="1"/>
        <v>44.984400000000001</v>
      </c>
      <c r="AG12" s="30">
        <f t="shared" ca="1" si="1"/>
        <v>45.610399999999998</v>
      </c>
    </row>
    <row r="13" spans="1:43" ht="15" x14ac:dyDescent="0.2">
      <c r="AA13" s="20"/>
      <c r="AD13" s="30">
        <f ca="1">MIN(AD3:AD6,AI3:AI6)</f>
        <v>971.16800000000001</v>
      </c>
      <c r="AE13" s="30">
        <f t="shared" ref="AE13:AG13" ca="1" si="2">MIN(AE3:AE6,AJ3:AJ6)</f>
        <v>28.2912</v>
      </c>
      <c r="AF13" s="30">
        <f t="shared" ca="1" si="2"/>
        <v>39.1937</v>
      </c>
      <c r="AG13" s="30">
        <f t="shared" ca="1" si="2"/>
        <v>41.220500000000001</v>
      </c>
    </row>
    <row r="14" spans="1:43" ht="15" x14ac:dyDescent="0.2">
      <c r="AA14" s="20"/>
      <c r="AD14" s="31"/>
      <c r="AE14" s="31"/>
      <c r="AF14" s="31"/>
      <c r="AG14" s="31"/>
    </row>
    <row r="15" spans="1:43" ht="15" x14ac:dyDescent="0.2">
      <c r="AA15" s="20"/>
      <c r="AD15" s="31">
        <f ca="1">POWER(10,CEILING(LOG(AD12+1),1))</f>
        <v>100000</v>
      </c>
      <c r="AE15" s="32">
        <f ca="1">CEILING(AE12+0.25,0.5)</f>
        <v>37.5</v>
      </c>
      <c r="AF15" s="32">
        <f ca="1">CEILING(AF12+0.25,0.5)</f>
        <v>45.5</v>
      </c>
      <c r="AG15" s="32">
        <f ca="1">CEILING(AG12+0.25,0.5)</f>
        <v>46</v>
      </c>
    </row>
    <row r="16" spans="1:43" ht="15" x14ac:dyDescent="0.2">
      <c r="AA16" s="20"/>
      <c r="AD16" s="31">
        <f ca="1">POWER(10,FLOOR(LOG(AD13+10),1))</f>
        <v>100</v>
      </c>
      <c r="AE16" s="32">
        <f ca="1">FLOOR(AE13-0.25,0.5)</f>
        <v>28</v>
      </c>
      <c r="AF16" s="32">
        <f ca="1">FLOOR(AF13-0.25,0.5)</f>
        <v>38.5</v>
      </c>
      <c r="AG16" s="32">
        <f ca="1">FLOOR(AG13-0.25,0.5)</f>
        <v>40.5</v>
      </c>
    </row>
    <row r="17" spans="27:27" ht="15" x14ac:dyDescent="0.2">
      <c r="AA17" s="20"/>
    </row>
    <row r="18" spans="27:27" ht="15" x14ac:dyDescent="0.2">
      <c r="AA18" s="20"/>
    </row>
    <row r="19" spans="27:27" ht="15" x14ac:dyDescent="0.2">
      <c r="AA19" s="20"/>
    </row>
    <row r="20" spans="27:27" ht="15" x14ac:dyDescent="0.2">
      <c r="AA20" s="20"/>
    </row>
    <row r="21" spans="27:27" x14ac:dyDescent="0.15">
      <c r="AA21"/>
    </row>
    <row r="22" spans="27:27" x14ac:dyDescent="0.15">
      <c r="AA22"/>
    </row>
    <row r="23" spans="27:27" x14ac:dyDescent="0.15">
      <c r="AA23"/>
    </row>
    <row r="24" spans="27:27" x14ac:dyDescent="0.15">
      <c r="AA24"/>
    </row>
    <row r="25" spans="27:27" x14ac:dyDescent="0.15">
      <c r="AA25"/>
    </row>
    <row r="26" spans="27:27" x14ac:dyDescent="0.15">
      <c r="AA26"/>
    </row>
    <row r="27" spans="27:27" x14ac:dyDescent="0.15">
      <c r="AA27"/>
    </row>
    <row r="28" spans="27:27" x14ac:dyDescent="0.15">
      <c r="AA28"/>
    </row>
    <row r="29" spans="27:27" x14ac:dyDescent="0.15">
      <c r="AA29"/>
    </row>
    <row r="30" spans="27:27" x14ac:dyDescent="0.15">
      <c r="AA30"/>
    </row>
    <row r="31" spans="27:27" x14ac:dyDescent="0.15">
      <c r="AA31"/>
    </row>
    <row r="32" spans="27:27" x14ac:dyDescent="0.15">
      <c r="AA32"/>
    </row>
    <row r="33" spans="27:27" ht="15" x14ac:dyDescent="0.2">
      <c r="AA33" s="20"/>
    </row>
    <row r="34" spans="27:27" ht="15" x14ac:dyDescent="0.2">
      <c r="AA34" s="20"/>
    </row>
    <row r="35" spans="27:27" ht="15" x14ac:dyDescent="0.2">
      <c r="AA35" s="20"/>
    </row>
    <row r="36" spans="27:27" ht="15" x14ac:dyDescent="0.2">
      <c r="AA36" s="20"/>
    </row>
    <row r="37" spans="27:27" ht="15" x14ac:dyDescent="0.2">
      <c r="AA37" s="20"/>
    </row>
    <row r="38" spans="27:27" ht="15" x14ac:dyDescent="0.2">
      <c r="AA38" s="20"/>
    </row>
    <row r="39" spans="27:27" ht="15" x14ac:dyDescent="0.2">
      <c r="AA39" s="20"/>
    </row>
    <row r="40" spans="27:27" ht="15" x14ac:dyDescent="0.2">
      <c r="AA40" s="20"/>
    </row>
    <row r="41" spans="27:27" ht="15" x14ac:dyDescent="0.2">
      <c r="AA41" s="20"/>
    </row>
    <row r="42" spans="27:27" ht="15" x14ac:dyDescent="0.2">
      <c r="AA42" s="20"/>
    </row>
    <row r="43" spans="27:27" ht="15" x14ac:dyDescent="0.2">
      <c r="AA43" s="20"/>
    </row>
    <row r="44" spans="27:27" ht="15" x14ac:dyDescent="0.2">
      <c r="AA44" s="20"/>
    </row>
    <row r="45" spans="27:27" ht="15" x14ac:dyDescent="0.2">
      <c r="AA45" s="20"/>
    </row>
    <row r="46" spans="27:27" ht="15" x14ac:dyDescent="0.2">
      <c r="AA46" s="20"/>
    </row>
    <row r="47" spans="27:27" ht="15" x14ac:dyDescent="0.2">
      <c r="AA47" s="20"/>
    </row>
    <row r="48" spans="27:27" ht="15" x14ac:dyDescent="0.2">
      <c r="AA48" s="20"/>
    </row>
    <row r="49" spans="27:27" ht="15" x14ac:dyDescent="0.2">
      <c r="AA49" s="20"/>
    </row>
    <row r="50" spans="27:27" ht="15" x14ac:dyDescent="0.2">
      <c r="AA50" s="20"/>
    </row>
    <row r="51" spans="27:27" ht="15" x14ac:dyDescent="0.2">
      <c r="AA51" s="20"/>
    </row>
    <row r="52" spans="27:27" ht="15" x14ac:dyDescent="0.2">
      <c r="AA52" s="20"/>
    </row>
    <row r="53" spans="27:27" ht="15" x14ac:dyDescent="0.2">
      <c r="AA53" s="20"/>
    </row>
    <row r="54" spans="27:27" ht="15" x14ac:dyDescent="0.2">
      <c r="AA54" s="20"/>
    </row>
    <row r="55" spans="27:27" ht="15" x14ac:dyDescent="0.2">
      <c r="AA55" s="20"/>
    </row>
    <row r="56" spans="27:27" ht="15" x14ac:dyDescent="0.2">
      <c r="AA56" s="20"/>
    </row>
    <row r="57" spans="27:27" ht="15" x14ac:dyDescent="0.2">
      <c r="AA57" s="20"/>
    </row>
    <row r="58" spans="27:27" ht="15" x14ac:dyDescent="0.2">
      <c r="AA58" s="20"/>
    </row>
    <row r="59" spans="27:27" ht="15" x14ac:dyDescent="0.2">
      <c r="AA59" s="20"/>
    </row>
    <row r="60" spans="27:27" ht="15" x14ac:dyDescent="0.2">
      <c r="AA60" s="20"/>
    </row>
    <row r="61" spans="27:27" ht="15" x14ac:dyDescent="0.2">
      <c r="AA61" s="20"/>
    </row>
    <row r="62" spans="27:27" ht="15" x14ac:dyDescent="0.2">
      <c r="AA62" s="20"/>
    </row>
    <row r="63" spans="27:27" ht="15" x14ac:dyDescent="0.2">
      <c r="AA63" s="20"/>
    </row>
    <row r="64" spans="27:27" ht="15" x14ac:dyDescent="0.2">
      <c r="AA64" s="20"/>
    </row>
    <row r="65" spans="27:27" ht="15" x14ac:dyDescent="0.2">
      <c r="AA65" s="20"/>
    </row>
    <row r="66" spans="27:27" ht="15" x14ac:dyDescent="0.2">
      <c r="AA66" s="20"/>
    </row>
    <row r="67" spans="27:27" ht="15" x14ac:dyDescent="0.2">
      <c r="AA67" s="20"/>
    </row>
    <row r="68" spans="27:27" ht="15" x14ac:dyDescent="0.2">
      <c r="AA68" s="20"/>
    </row>
    <row r="69" spans="27:27" ht="15" x14ac:dyDescent="0.2">
      <c r="AA69" s="20"/>
    </row>
    <row r="70" spans="27:27" ht="15" x14ac:dyDescent="0.2">
      <c r="AA70" s="20"/>
    </row>
    <row r="71" spans="27:27" ht="15" x14ac:dyDescent="0.2">
      <c r="AA71" s="20"/>
    </row>
    <row r="72" spans="27:27" ht="15" x14ac:dyDescent="0.2">
      <c r="AA72" s="20"/>
    </row>
    <row r="73" spans="27:27" ht="15" x14ac:dyDescent="0.2">
      <c r="AA73" s="20"/>
    </row>
    <row r="74" spans="27:27" ht="15" x14ac:dyDescent="0.2">
      <c r="AA74" s="20"/>
    </row>
    <row r="75" spans="27:27" ht="15" x14ac:dyDescent="0.2">
      <c r="AA75" s="20"/>
    </row>
    <row r="76" spans="27:27" ht="15" x14ac:dyDescent="0.2">
      <c r="AA76" s="20"/>
    </row>
    <row r="77" spans="27:27" ht="15" x14ac:dyDescent="0.2">
      <c r="AA77" s="20"/>
    </row>
    <row r="78" spans="27:27" ht="15" x14ac:dyDescent="0.2">
      <c r="AA78" s="20"/>
    </row>
    <row r="79" spans="27:27" ht="15" x14ac:dyDescent="0.2">
      <c r="AA79" s="20"/>
    </row>
    <row r="80" spans="27:27" ht="15" x14ac:dyDescent="0.2">
      <c r="AA80" s="20"/>
    </row>
    <row r="81" spans="27:27" ht="15" x14ac:dyDescent="0.2">
      <c r="AA81" s="20"/>
    </row>
    <row r="82" spans="27:27" ht="15" x14ac:dyDescent="0.2">
      <c r="AA82" s="20"/>
    </row>
    <row r="83" spans="27:27" ht="15" x14ac:dyDescent="0.2">
      <c r="AA83" s="20"/>
    </row>
    <row r="84" spans="27:27" ht="15" x14ac:dyDescent="0.2">
      <c r="AA84" s="20"/>
    </row>
    <row r="85" spans="27:27" ht="15" x14ac:dyDescent="0.2">
      <c r="AA85" s="20"/>
    </row>
    <row r="86" spans="27:27" ht="15" x14ac:dyDescent="0.2">
      <c r="AA86" s="20"/>
    </row>
  </sheetData>
  <dataConsolidate/>
  <phoneticPr fontId="1" type="noConversion"/>
  <dataValidations count="2">
    <dataValidation type="list" allowBlank="1" showInputMessage="1" showErrorMessage="1" sqref="A2">
      <formula1>$Z$3:$Z$4</formula1>
    </dataValidation>
    <dataValidation type="list" allowBlank="1" showInputMessage="1" showErrorMessage="1" sqref="B2">
      <formula1>$AA$3:$AA$12</formula1>
    </dataValidation>
  </dataValidations>
  <pageMargins left="0.75" right="0.75" top="1" bottom="1" header="0.5" footer="0.5"/>
  <pageSetup orientation="portrait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48"/>
  <sheetViews>
    <sheetView zoomScaleNormal="100" workbookViewId="0">
      <selection activeCell="E47" sqref="E47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5.625" style="1" customWidth="1"/>
    <col min="22" max="27" width="8.875" style="1" customWidth="1"/>
    <col min="28" max="16384" width="10.875" style="1"/>
  </cols>
  <sheetData>
    <row r="1" spans="1:27" ht="12.75" thickBot="1" x14ac:dyDescent="0.25">
      <c r="D1" s="109" t="s">
        <v>5</v>
      </c>
      <c r="E1" s="110"/>
      <c r="F1" s="110"/>
      <c r="G1" s="110"/>
      <c r="H1" s="110"/>
      <c r="I1" s="110"/>
      <c r="J1" s="111"/>
      <c r="L1" s="109" t="s">
        <v>6</v>
      </c>
      <c r="M1" s="110"/>
      <c r="N1" s="110"/>
      <c r="O1" s="110"/>
      <c r="P1" s="110"/>
      <c r="Q1" s="110"/>
      <c r="R1" s="111"/>
      <c r="S1" s="34"/>
      <c r="T1" s="34"/>
      <c r="U1" s="2"/>
      <c r="V1" s="109" t="s">
        <v>17</v>
      </c>
      <c r="W1" s="110"/>
      <c r="X1" s="111"/>
      <c r="Y1" s="109" t="s">
        <v>18</v>
      </c>
      <c r="Z1" s="110"/>
      <c r="AA1" s="111"/>
    </row>
    <row r="2" spans="1:27" ht="12.75" thickBot="1" x14ac:dyDescent="0.25">
      <c r="A2" s="51"/>
      <c r="B2" s="47"/>
      <c r="C2" s="46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29</v>
      </c>
      <c r="T2" s="7" t="s">
        <v>30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ht="14.25" x14ac:dyDescent="0.25">
      <c r="A3" s="59"/>
      <c r="B3" s="100" t="s">
        <v>44</v>
      </c>
      <c r="C3" s="11">
        <v>32</v>
      </c>
      <c r="D3" s="12">
        <f>Reference!B1</f>
        <v>34404.534399999997</v>
      </c>
      <c r="E3" s="13">
        <f>Reference!C1</f>
        <v>34.660899999999998</v>
      </c>
      <c r="F3" s="13">
        <f>Reference!D1</f>
        <v>44.384</v>
      </c>
      <c r="G3" s="13">
        <f>Reference!E1</f>
        <v>43.094700000000003</v>
      </c>
      <c r="H3" s="13">
        <f>Reference!F1</f>
        <v>33659.377999999997</v>
      </c>
      <c r="I3" s="13">
        <f>Reference!G1</f>
        <v>99.081999999999994</v>
      </c>
      <c r="J3" s="14">
        <f>H3/3600</f>
        <v>9.3498272222222205</v>
      </c>
      <c r="L3" s="12">
        <f>Test!B1</f>
        <v>36247.632799999999</v>
      </c>
      <c r="M3" s="13">
        <f>Test!C1</f>
        <v>35.229500000000002</v>
      </c>
      <c r="N3" s="13">
        <f>Test!D1</f>
        <v>44.464700000000001</v>
      </c>
      <c r="O3" s="13">
        <f>Test!E1</f>
        <v>43.0655</v>
      </c>
      <c r="P3" s="13">
        <f>Test!F1</f>
        <v>1303374.6880000001</v>
      </c>
      <c r="Q3" s="13">
        <f>Test!G1</f>
        <v>126.215</v>
      </c>
      <c r="R3" s="13">
        <f>P3/3600</f>
        <v>362.04852444444447</v>
      </c>
      <c r="S3" s="12">
        <f>P3/H3</f>
        <v>38.722482869410129</v>
      </c>
      <c r="T3" s="13">
        <f>Q3/I3</f>
        <v>1.2738438868815729</v>
      </c>
      <c r="U3" s="60">
        <f>L3/D3</f>
        <v>1.0535713804050202</v>
      </c>
      <c r="V3" s="40">
        <f>bdrate($D3:$D6,E3:E6,$L3:$L6,M3:M6)</f>
        <v>-0.11908412489099895</v>
      </c>
      <c r="W3" s="40">
        <f>bdrate($D3:$D6,F3:F6,$L3:$L6,N3:N6)</f>
        <v>0.14305097069348216</v>
      </c>
      <c r="X3" s="41">
        <f>bdrate($D3:$D6,G3:G6,$L3:$L6,O3:O6)</f>
        <v>0.14275411445900077</v>
      </c>
      <c r="Y3" s="35">
        <f>bdrateOld($D3:$D6,E3:E6,$L3:$L6,M3:M6)</f>
        <v>-0.11908929936626755</v>
      </c>
      <c r="Z3" s="40">
        <f>bdrateOld($D3:$D6,F3:F6,$L3:$L6,N3:N6)</f>
        <v>0.14323083848758444</v>
      </c>
      <c r="AA3" s="41">
        <f>bdrateOld($D3:$D6,G3:G6,$L3:$L6,O3:O6)</f>
        <v>0.14467731786306204</v>
      </c>
    </row>
    <row r="4" spans="1:27" x14ac:dyDescent="0.2">
      <c r="A4" s="16"/>
      <c r="B4" s="57"/>
      <c r="C4" s="16">
        <v>38</v>
      </c>
      <c r="D4" s="17">
        <f>Reference!B2</f>
        <v>15195.292799999999</v>
      </c>
      <c r="E4" s="18">
        <f>Reference!C2</f>
        <v>31.1143</v>
      </c>
      <c r="F4" s="18">
        <f>Reference!D2</f>
        <v>42.382199999999997</v>
      </c>
      <c r="G4" s="18">
        <f>Reference!E2</f>
        <v>41.345500000000001</v>
      </c>
      <c r="H4" s="18">
        <f>Reference!F2</f>
        <v>24631.377</v>
      </c>
      <c r="I4" s="18">
        <f>Reference!G2</f>
        <v>78.043999999999997</v>
      </c>
      <c r="J4" s="19">
        <f t="shared" ref="J4:J14" si="0">H4/3600</f>
        <v>6.8420491666666665</v>
      </c>
      <c r="L4" s="17">
        <f>Test!B2</f>
        <v>17241.437600000001</v>
      </c>
      <c r="M4" s="18">
        <f>Test!C2</f>
        <v>32.009799999999998</v>
      </c>
      <c r="N4" s="18">
        <f>Test!D2</f>
        <v>42.626899999999999</v>
      </c>
      <c r="O4" s="18">
        <f>Test!E2</f>
        <v>41.500900000000001</v>
      </c>
      <c r="P4" s="18">
        <f>Test!F2</f>
        <v>741479.12</v>
      </c>
      <c r="Q4" s="18">
        <f>Test!G2</f>
        <v>97.662000000000006</v>
      </c>
      <c r="R4" s="18">
        <f t="shared" ref="R4:R14" si="1">P4/3600</f>
        <v>205.96642222222223</v>
      </c>
      <c r="S4" s="17">
        <f t="shared" ref="S4:T7" si="2">P4/H4</f>
        <v>30.103031592590213</v>
      </c>
      <c r="T4" s="18">
        <f t="shared" si="2"/>
        <v>1.2513710214750655</v>
      </c>
      <c r="U4" s="61">
        <f t="shared" ref="U4:U7" si="3">L4/D4</f>
        <v>1.1346564904626255</v>
      </c>
      <c r="V4" s="25"/>
      <c r="W4" s="25"/>
      <c r="X4" s="48"/>
      <c r="Y4" s="36"/>
      <c r="Z4" s="25"/>
      <c r="AA4" s="48"/>
    </row>
    <row r="5" spans="1:27" x14ac:dyDescent="0.2">
      <c r="A5" s="16"/>
      <c r="B5" s="57"/>
      <c r="C5" s="16">
        <v>43</v>
      </c>
      <c r="D5" s="17">
        <f>Reference!B3</f>
        <v>5967.1855999999998</v>
      </c>
      <c r="E5" s="18">
        <f>Reference!C3</f>
        <v>27.8294</v>
      </c>
      <c r="F5" s="18">
        <f>Reference!D3</f>
        <v>41.033099999999997</v>
      </c>
      <c r="G5" s="18">
        <f>Reference!E3</f>
        <v>40.188499999999998</v>
      </c>
      <c r="H5" s="18">
        <f>Reference!F3</f>
        <v>19544.017</v>
      </c>
      <c r="I5" s="18">
        <f>Reference!G3</f>
        <v>65.061999999999998</v>
      </c>
      <c r="J5" s="19">
        <f t="shared" si="0"/>
        <v>5.4288936111111115</v>
      </c>
      <c r="L5" s="17">
        <f>Test!B3</f>
        <v>6537.6527999999998</v>
      </c>
      <c r="M5" s="18">
        <f>Test!C3</f>
        <v>28.617000000000001</v>
      </c>
      <c r="N5" s="18">
        <f>Test!D3</f>
        <v>40.744199999999999</v>
      </c>
      <c r="O5" s="18">
        <f>Test!E3</f>
        <v>40.017899999999997</v>
      </c>
      <c r="P5" s="18">
        <f>Test!F3</f>
        <v>397389.79200000002</v>
      </c>
      <c r="Q5" s="18">
        <f>Test!G3</f>
        <v>79.125</v>
      </c>
      <c r="R5" s="18">
        <f t="shared" si="1"/>
        <v>110.38605333333334</v>
      </c>
      <c r="S5" s="17">
        <f t="shared" si="2"/>
        <v>20.333066226866258</v>
      </c>
      <c r="T5" s="18">
        <f t="shared" si="2"/>
        <v>1.2161476745258368</v>
      </c>
      <c r="U5" s="61">
        <f t="shared" si="3"/>
        <v>1.0956007133413113</v>
      </c>
      <c r="V5" s="25"/>
      <c r="W5" s="25"/>
      <c r="X5" s="48"/>
      <c r="Y5" s="36"/>
      <c r="Z5" s="25"/>
      <c r="AA5" s="48"/>
    </row>
    <row r="6" spans="1:27" ht="12.75" thickBot="1" x14ac:dyDescent="0.25">
      <c r="A6" s="16"/>
      <c r="B6" s="58"/>
      <c r="C6" s="21">
        <v>48</v>
      </c>
      <c r="D6" s="22">
        <f>Reference!B4</f>
        <v>2155.6640000000002</v>
      </c>
      <c r="E6" s="23">
        <f>Reference!C4</f>
        <v>24.8202</v>
      </c>
      <c r="F6" s="23">
        <f>Reference!D4</f>
        <v>39.959200000000003</v>
      </c>
      <c r="G6" s="23">
        <f>Reference!E4</f>
        <v>39.276499999999999</v>
      </c>
      <c r="H6" s="23">
        <f>Reference!F4</f>
        <v>16305.045</v>
      </c>
      <c r="I6" s="23">
        <f>Reference!G4</f>
        <v>57.642000000000003</v>
      </c>
      <c r="J6" s="24">
        <f t="shared" si="0"/>
        <v>4.5291791666666663</v>
      </c>
      <c r="L6" s="22">
        <f>Test!B4</f>
        <v>2236.1840000000002</v>
      </c>
      <c r="M6" s="23">
        <f>Test!C4</f>
        <v>25.430900000000001</v>
      </c>
      <c r="N6" s="23">
        <f>Test!D4</f>
        <v>39.026600000000002</v>
      </c>
      <c r="O6" s="23">
        <f>Test!E4</f>
        <v>38.6006</v>
      </c>
      <c r="P6" s="23">
        <f>Test!F4</f>
        <v>194179.10800000001</v>
      </c>
      <c r="Q6" s="23">
        <f>Test!G4</f>
        <v>68.828999999999994</v>
      </c>
      <c r="R6" s="23">
        <f t="shared" si="1"/>
        <v>53.93864111111111</v>
      </c>
      <c r="S6" s="22">
        <f t="shared" si="2"/>
        <v>11.909142722390524</v>
      </c>
      <c r="T6" s="23">
        <f t="shared" si="2"/>
        <v>1.1940772353492244</v>
      </c>
      <c r="U6" s="62">
        <f t="shared" si="3"/>
        <v>1.0373527599848584</v>
      </c>
      <c r="V6" s="49"/>
      <c r="W6" s="49"/>
      <c r="X6" s="50"/>
      <c r="Y6" s="37"/>
      <c r="Z6" s="49"/>
      <c r="AA6" s="50"/>
    </row>
    <row r="7" spans="1:27" ht="14.25" x14ac:dyDescent="0.25">
      <c r="A7" s="16"/>
      <c r="B7" s="101" t="s">
        <v>45</v>
      </c>
      <c r="C7" s="11">
        <v>32</v>
      </c>
      <c r="D7" s="12">
        <f>Reference!B5</f>
        <v>43267.975200000001</v>
      </c>
      <c r="E7" s="13">
        <f>Reference!C5</f>
        <v>34.371600000000001</v>
      </c>
      <c r="F7" s="13">
        <f>Reference!D5</f>
        <v>44.938000000000002</v>
      </c>
      <c r="G7" s="13">
        <f>Reference!E5</f>
        <v>47.009799999999998</v>
      </c>
      <c r="H7" s="13">
        <f>Reference!F5</f>
        <v>41907.387999999999</v>
      </c>
      <c r="I7" s="13">
        <f>Reference!G5</f>
        <v>116.84099999999999</v>
      </c>
      <c r="J7" s="14">
        <f t="shared" si="0"/>
        <v>11.640941111111111</v>
      </c>
      <c r="L7" s="12">
        <f>Test!B5</f>
        <v>45170.311999999998</v>
      </c>
      <c r="M7" s="13">
        <f>Test!C5</f>
        <v>35.031100000000002</v>
      </c>
      <c r="N7" s="13">
        <f>Test!D5</f>
        <v>45.060699999999997</v>
      </c>
      <c r="O7" s="13">
        <f>Test!E5</f>
        <v>47.261400000000002</v>
      </c>
      <c r="P7" s="13">
        <f>Test!F5</f>
        <v>1716757.28</v>
      </c>
      <c r="Q7" s="13">
        <f>Test!G5</f>
        <v>170.20500000000001</v>
      </c>
      <c r="R7" s="13">
        <f t="shared" si="1"/>
        <v>476.87702222222225</v>
      </c>
      <c r="S7" s="12">
        <f t="shared" si="2"/>
        <v>40.965504220878671</v>
      </c>
      <c r="T7" s="13">
        <f t="shared" si="2"/>
        <v>1.4567232392738851</v>
      </c>
      <c r="U7" s="60">
        <f t="shared" si="3"/>
        <v>1.0439663929547598</v>
      </c>
      <c r="V7" s="40">
        <f>bdrate($D7:$D10,E7:E10,$L7:$L10,M7:M10)</f>
        <v>-0.13697230572013885</v>
      </c>
      <c r="W7" s="40">
        <f>bdrate($D7:$D10,F7:F10,$L7:$L10,N7:N10)</f>
        <v>0.1090381949722774</v>
      </c>
      <c r="X7" s="40">
        <f>bdrate($D7:$D10,G7:G10,$L7:$L10,O7:O10)</f>
        <v>-5.5415701877105428E-2</v>
      </c>
      <c r="Y7" s="38">
        <f>bdrateOld($D7:$D10,E7:E10,$L7:$L10,M7:M10)</f>
        <v>-0.13774962243680622</v>
      </c>
      <c r="Z7" s="42">
        <f>bdrateOld($D7:$D10,F7:F10,$L7:$L10,N7:N10)</f>
        <v>0.10649811394900133</v>
      </c>
      <c r="AA7" s="43">
        <f>bdrateOld($D7:$D10,G7:G10,$L7:$L10,O7:O10)</f>
        <v>-6.3322509912118186E-2</v>
      </c>
    </row>
    <row r="8" spans="1:27" x14ac:dyDescent="0.2">
      <c r="A8" s="16"/>
      <c r="B8" s="57"/>
      <c r="C8" s="16">
        <v>38</v>
      </c>
      <c r="D8" s="17">
        <f>Reference!B6</f>
        <v>16529.517599999999</v>
      </c>
      <c r="E8" s="18">
        <f>Reference!C6</f>
        <v>30.749099999999999</v>
      </c>
      <c r="F8" s="18">
        <f>Reference!D6</f>
        <v>43.465699999999998</v>
      </c>
      <c r="G8" s="18">
        <f>Reference!E6</f>
        <v>45.483499999999999</v>
      </c>
      <c r="H8" s="18">
        <f>Reference!F6</f>
        <v>29117.778999999999</v>
      </c>
      <c r="I8" s="18">
        <f>Reference!G6</f>
        <v>87.682000000000002</v>
      </c>
      <c r="J8" s="19">
        <f t="shared" si="0"/>
        <v>8.0882719444444433</v>
      </c>
      <c r="L8" s="17">
        <f>Test!B6</f>
        <v>19165.619200000001</v>
      </c>
      <c r="M8" s="18">
        <f>Test!C6</f>
        <v>31.721399999999999</v>
      </c>
      <c r="N8" s="18">
        <f>Test!D6</f>
        <v>43.707700000000003</v>
      </c>
      <c r="O8" s="18">
        <f>Test!E6</f>
        <v>46.024299999999997</v>
      </c>
      <c r="P8" s="18">
        <f>Test!F6</f>
        <v>927242.99199999997</v>
      </c>
      <c r="Q8" s="18">
        <f>Test!G6</f>
        <v>127.54900000000001</v>
      </c>
      <c r="R8" s="18">
        <f t="shared" si="1"/>
        <v>257.56749777777776</v>
      </c>
      <c r="S8" s="17">
        <f t="shared" ref="S8:S42" si="4">P8/H8</f>
        <v>31.844564518468253</v>
      </c>
      <c r="T8" s="18">
        <f t="shared" ref="T8:T42" si="5">Q8/I8</f>
        <v>1.4546771287151297</v>
      </c>
      <c r="U8" s="61">
        <f t="shared" ref="U8:U42" si="6">L8/D8</f>
        <v>1.1594784351117422</v>
      </c>
      <c r="V8" s="25"/>
      <c r="W8" s="25"/>
      <c r="X8" s="25"/>
      <c r="Y8" s="36"/>
      <c r="Z8" s="25"/>
      <c r="AA8" s="48"/>
    </row>
    <row r="9" spans="1:27" x14ac:dyDescent="0.2">
      <c r="A9" s="16"/>
      <c r="B9" s="57"/>
      <c r="C9" s="16">
        <v>43</v>
      </c>
      <c r="D9" s="17">
        <f>Reference!B7</f>
        <v>5982.8495999999996</v>
      </c>
      <c r="E9" s="18">
        <f>Reference!C7</f>
        <v>27.559100000000001</v>
      </c>
      <c r="F9" s="18">
        <f>Reference!D7</f>
        <v>42.356699999999996</v>
      </c>
      <c r="G9" s="18">
        <f>Reference!E7</f>
        <v>44.373699999999999</v>
      </c>
      <c r="H9" s="18">
        <f>Reference!F7</f>
        <v>21895.767</v>
      </c>
      <c r="I9" s="18">
        <f>Reference!G7</f>
        <v>70.988</v>
      </c>
      <c r="J9" s="19">
        <f t="shared" si="0"/>
        <v>6.0821575000000001</v>
      </c>
      <c r="L9" s="17">
        <f>Test!B7</f>
        <v>6536.0511999999999</v>
      </c>
      <c r="M9" s="18">
        <f>Test!C7</f>
        <v>28.325299999999999</v>
      </c>
      <c r="N9" s="18">
        <f>Test!D7</f>
        <v>42.202199999999998</v>
      </c>
      <c r="O9" s="18">
        <f>Test!E7</f>
        <v>44.452500000000001</v>
      </c>
      <c r="P9" s="18">
        <f>Test!F7</f>
        <v>427263.24800000002</v>
      </c>
      <c r="Q9" s="18">
        <f>Test!G7</f>
        <v>99.694000000000003</v>
      </c>
      <c r="R9" s="18">
        <f t="shared" si="1"/>
        <v>118.68423555555556</v>
      </c>
      <c r="S9" s="17">
        <f t="shared" si="4"/>
        <v>19.513509072324347</v>
      </c>
      <c r="T9" s="18">
        <f t="shared" si="5"/>
        <v>1.4043782047670028</v>
      </c>
      <c r="U9" s="61">
        <f t="shared" si="6"/>
        <v>1.0924645673860831</v>
      </c>
      <c r="V9" s="25"/>
      <c r="W9" s="25"/>
      <c r="X9" s="25"/>
      <c r="Y9" s="36"/>
      <c r="Z9" s="25"/>
      <c r="AA9" s="48"/>
    </row>
    <row r="10" spans="1:27" ht="12.75" thickBot="1" x14ac:dyDescent="0.25">
      <c r="A10" s="16"/>
      <c r="B10" s="58"/>
      <c r="C10" s="21">
        <v>48</v>
      </c>
      <c r="D10" s="22">
        <f>Reference!B8</f>
        <v>2144.7664</v>
      </c>
      <c r="E10" s="23">
        <f>Reference!C8</f>
        <v>24.581199999999999</v>
      </c>
      <c r="F10" s="23">
        <f>Reference!D8</f>
        <v>41.375599999999999</v>
      </c>
      <c r="G10" s="23">
        <f>Reference!E8</f>
        <v>43.154699999999998</v>
      </c>
      <c r="H10" s="23">
        <f>Reference!F8</f>
        <v>17923.616999999998</v>
      </c>
      <c r="I10" s="23">
        <f>Reference!G8</f>
        <v>61.066000000000003</v>
      </c>
      <c r="J10" s="24">
        <f t="shared" si="0"/>
        <v>4.9787824999999994</v>
      </c>
      <c r="L10" s="22">
        <f>Test!B8</f>
        <v>2240.0864000000001</v>
      </c>
      <c r="M10" s="23">
        <f>Test!C8</f>
        <v>25.169599999999999</v>
      </c>
      <c r="N10" s="23">
        <f>Test!D8</f>
        <v>40.525399999999998</v>
      </c>
      <c r="O10" s="23">
        <f>Test!E8</f>
        <v>42.566400000000002</v>
      </c>
      <c r="P10" s="23">
        <f>Test!F8</f>
        <v>205789.26800000001</v>
      </c>
      <c r="Q10" s="23">
        <f>Test!G8</f>
        <v>79.989000000000004</v>
      </c>
      <c r="R10" s="23">
        <f t="shared" si="1"/>
        <v>57.16368555555556</v>
      </c>
      <c r="S10" s="22">
        <f t="shared" si="4"/>
        <v>11.481458681024039</v>
      </c>
      <c r="T10" s="23">
        <f t="shared" si="5"/>
        <v>1.3098778370942914</v>
      </c>
      <c r="U10" s="62">
        <f t="shared" si="6"/>
        <v>1.0444430684852206</v>
      </c>
      <c r="V10" s="49"/>
      <c r="W10" s="49"/>
      <c r="X10" s="49"/>
      <c r="Y10" s="37"/>
      <c r="Z10" s="49"/>
      <c r="AA10" s="50"/>
    </row>
    <row r="11" spans="1:27" ht="14.25" x14ac:dyDescent="0.25">
      <c r="A11" s="33"/>
      <c r="B11" s="101" t="s">
        <v>46</v>
      </c>
      <c r="C11" s="11">
        <v>32</v>
      </c>
      <c r="D11" s="12">
        <f>Reference!B9</f>
        <v>8049.0343999999996</v>
      </c>
      <c r="E11" s="13">
        <f>Reference!C9</f>
        <v>39.618099999999998</v>
      </c>
      <c r="F11" s="13">
        <f>Reference!D9</f>
        <v>47.692100000000003</v>
      </c>
      <c r="G11" s="13">
        <f>Reference!E9</f>
        <v>46.505499999999998</v>
      </c>
      <c r="H11" s="13">
        <f>Reference!F9</f>
        <v>22800.404999999999</v>
      </c>
      <c r="I11" s="13">
        <f>Reference!G9</f>
        <v>73.656999999999996</v>
      </c>
      <c r="J11" s="14">
        <f t="shared" si="0"/>
        <v>6.3334458333333332</v>
      </c>
      <c r="L11" s="12">
        <f>Test!B9</f>
        <v>8248.1664000000001</v>
      </c>
      <c r="M11" s="13">
        <f>Test!C9</f>
        <v>40.152999999999999</v>
      </c>
      <c r="N11" s="13">
        <f>Test!D9</f>
        <v>47.997999999999998</v>
      </c>
      <c r="O11" s="13">
        <f>Test!E9</f>
        <v>46.852600000000002</v>
      </c>
      <c r="P11" s="13">
        <f>Test!F9</f>
        <v>407451.38400000002</v>
      </c>
      <c r="Q11" s="13">
        <f>Test!G9</f>
        <v>90.042000000000002</v>
      </c>
      <c r="R11" s="13">
        <f t="shared" si="1"/>
        <v>113.18094000000001</v>
      </c>
      <c r="S11" s="12">
        <f t="shared" si="4"/>
        <v>17.870357302863702</v>
      </c>
      <c r="T11" s="13">
        <f t="shared" si="5"/>
        <v>1.2224500047517548</v>
      </c>
      <c r="U11" s="60">
        <f t="shared" si="6"/>
        <v>1.0247398619640637</v>
      </c>
      <c r="V11" s="40">
        <f>bdrate($D11:$D14,E11:E14,$L11:$L14,M11:M14)</f>
        <v>-0.19955799629949744</v>
      </c>
      <c r="W11" s="40">
        <f>bdrate($D11:$D14,F11:F14,$L11:$L14,N11:N14)</f>
        <v>-0.15000761219572911</v>
      </c>
      <c r="X11" s="40">
        <f>bdrate($D11:$D14,G11:G14,$L11:$L14,O11:O14)</f>
        <v>-0.1633857717211139</v>
      </c>
      <c r="Y11" s="38">
        <f>bdrateOld($D11:$D14,E11:E14,$L11:$L14,M11:M14)</f>
        <v>-0.19992578920240134</v>
      </c>
      <c r="Z11" s="42">
        <f>bdrateOld($D11:$D14,F11:F14,$L11:$L14,N11:N14)</f>
        <v>-0.15347222892306944</v>
      </c>
      <c r="AA11" s="43">
        <f>bdrateOld($D11:$D14,G11:G14,$L11:$L14,O11:O14)</f>
        <v>-0.16556712360982384</v>
      </c>
    </row>
    <row r="12" spans="1:27" x14ac:dyDescent="0.2">
      <c r="A12" s="33"/>
      <c r="B12" s="55"/>
      <c r="C12" s="16">
        <v>38</v>
      </c>
      <c r="D12" s="17">
        <f>Reference!B10</f>
        <v>3710.9928</v>
      </c>
      <c r="E12" s="18">
        <f>Reference!C10</f>
        <v>36.917200000000001</v>
      </c>
      <c r="F12" s="18">
        <f>Reference!D10</f>
        <v>45.964700000000001</v>
      </c>
      <c r="G12" s="18">
        <f>Reference!E10</f>
        <v>44.889899999999997</v>
      </c>
      <c r="H12" s="18">
        <f>Reference!F10</f>
        <v>19562.621999999999</v>
      </c>
      <c r="I12" s="18">
        <f>Reference!G10</f>
        <v>64.864999999999995</v>
      </c>
      <c r="J12" s="19">
        <f t="shared" si="0"/>
        <v>5.4340616666666666</v>
      </c>
      <c r="L12" s="17">
        <f>Test!B10</f>
        <v>3954.1368000000002</v>
      </c>
      <c r="M12" s="18">
        <f>Test!C10</f>
        <v>37.790900000000001</v>
      </c>
      <c r="N12" s="18">
        <f>Test!D10</f>
        <v>46.6098</v>
      </c>
      <c r="O12" s="18">
        <f>Test!E10</f>
        <v>45.521599999999999</v>
      </c>
      <c r="P12" s="18">
        <f>Test!F10</f>
        <v>223352.16399999999</v>
      </c>
      <c r="Q12" s="18">
        <f>Test!G10</f>
        <v>81.302000000000007</v>
      </c>
      <c r="R12" s="18">
        <f t="shared" si="1"/>
        <v>62.042267777777774</v>
      </c>
      <c r="S12" s="17">
        <f t="shared" si="4"/>
        <v>11.417291812927735</v>
      </c>
      <c r="T12" s="18">
        <f t="shared" si="5"/>
        <v>1.2534032220766209</v>
      </c>
      <c r="U12" s="61">
        <f t="shared" si="6"/>
        <v>1.065519933102538</v>
      </c>
      <c r="V12" s="25"/>
      <c r="W12" s="25"/>
      <c r="X12" s="25"/>
      <c r="Y12" s="36"/>
      <c r="Z12" s="25"/>
      <c r="AA12" s="48"/>
    </row>
    <row r="13" spans="1:27" x14ac:dyDescent="0.2">
      <c r="A13" s="33"/>
      <c r="B13" s="55"/>
      <c r="C13" s="16">
        <v>43</v>
      </c>
      <c r="D13" s="17">
        <f>Reference!B11</f>
        <v>1837.8784000000001</v>
      </c>
      <c r="E13" s="18">
        <f>Reference!C11</f>
        <v>34.208100000000002</v>
      </c>
      <c r="F13" s="18">
        <f>Reference!D11</f>
        <v>44.660899999999998</v>
      </c>
      <c r="G13" s="18">
        <f>Reference!E11</f>
        <v>43.589199999999998</v>
      </c>
      <c r="H13" s="18">
        <f>Reference!F11</f>
        <v>17557.988000000001</v>
      </c>
      <c r="I13" s="18">
        <f>Reference!G11</f>
        <v>58.506</v>
      </c>
      <c r="J13" s="19">
        <f t="shared" si="0"/>
        <v>4.8772188888888897</v>
      </c>
      <c r="L13" s="17">
        <f>Test!B11</f>
        <v>1807.7816</v>
      </c>
      <c r="M13" s="18">
        <f>Test!C11</f>
        <v>35.1325</v>
      </c>
      <c r="N13" s="18">
        <f>Test!D11</f>
        <v>44.942100000000003</v>
      </c>
      <c r="O13" s="18">
        <f>Test!E11</f>
        <v>43.909300000000002</v>
      </c>
      <c r="P13" s="18">
        <f>Test!F11</f>
        <v>122273.21</v>
      </c>
      <c r="Q13" s="18">
        <f>Test!G11</f>
        <v>75.228999999999999</v>
      </c>
      <c r="R13" s="18">
        <f t="shared" si="1"/>
        <v>33.964780555555556</v>
      </c>
      <c r="S13" s="17">
        <f t="shared" si="4"/>
        <v>6.9639647777410483</v>
      </c>
      <c r="T13" s="18">
        <f t="shared" si="5"/>
        <v>1.2858339315625749</v>
      </c>
      <c r="U13" s="61">
        <f t="shared" si="6"/>
        <v>0.98362416142439024</v>
      </c>
      <c r="V13" s="25"/>
      <c r="W13" s="25"/>
      <c r="X13" s="25"/>
      <c r="Y13" s="36"/>
      <c r="Z13" s="25"/>
      <c r="AA13" s="48"/>
    </row>
    <row r="14" spans="1:27" ht="12.75" thickBot="1" x14ac:dyDescent="0.25">
      <c r="A14" s="33"/>
      <c r="B14" s="56"/>
      <c r="C14" s="21">
        <v>48</v>
      </c>
      <c r="D14" s="22">
        <f>Reference!B12</f>
        <v>967.88080000000002</v>
      </c>
      <c r="E14" s="23">
        <f>Reference!C12</f>
        <v>31.400400000000001</v>
      </c>
      <c r="F14" s="23">
        <f>Reference!D12</f>
        <v>43.447299999999998</v>
      </c>
      <c r="G14" s="23">
        <f>Reference!E12</f>
        <v>42.3703</v>
      </c>
      <c r="H14" s="23">
        <f>Reference!F12</f>
        <v>16178.968000000001</v>
      </c>
      <c r="I14" s="23">
        <f>Reference!G12</f>
        <v>55.152999999999999</v>
      </c>
      <c r="J14" s="24">
        <f t="shared" si="0"/>
        <v>4.4941577777777777</v>
      </c>
      <c r="L14" s="22">
        <f>Test!B12</f>
        <v>895.50959999999998</v>
      </c>
      <c r="M14" s="23">
        <f>Test!C12</f>
        <v>32.393300000000004</v>
      </c>
      <c r="N14" s="23">
        <f>Test!D12</f>
        <v>42.893099999999997</v>
      </c>
      <c r="O14" s="23">
        <f>Test!E12</f>
        <v>41.9923</v>
      </c>
      <c r="P14" s="23">
        <f>Test!F12</f>
        <v>69617.547999999995</v>
      </c>
      <c r="Q14" s="23">
        <f>Test!G12</f>
        <v>62.005000000000003</v>
      </c>
      <c r="R14" s="23">
        <f t="shared" si="1"/>
        <v>19.338207777777775</v>
      </c>
      <c r="S14" s="22">
        <f t="shared" si="4"/>
        <v>4.3029659246498291</v>
      </c>
      <c r="T14" s="23">
        <f t="shared" si="5"/>
        <v>1.1242362156183707</v>
      </c>
      <c r="U14" s="62">
        <f t="shared" si="6"/>
        <v>0.92522715607128481</v>
      </c>
      <c r="V14" s="49"/>
      <c r="W14" s="49"/>
      <c r="X14" s="49"/>
      <c r="Y14" s="37"/>
      <c r="Z14" s="49"/>
      <c r="AA14" s="50"/>
    </row>
    <row r="15" spans="1:27" ht="14.25" x14ac:dyDescent="0.25">
      <c r="A15" s="16"/>
      <c r="B15" s="98" t="s">
        <v>47</v>
      </c>
      <c r="C15" s="11">
        <v>32</v>
      </c>
      <c r="D15" s="12">
        <f>Reference!B13</f>
        <v>17805.6456</v>
      </c>
      <c r="E15" s="13">
        <f>Reference!C13</f>
        <v>36.594200000000001</v>
      </c>
      <c r="F15" s="13">
        <f>Reference!D13</f>
        <v>42.827199999999998</v>
      </c>
      <c r="G15" s="13">
        <f>Reference!E13</f>
        <v>42.444400000000002</v>
      </c>
      <c r="H15" s="13">
        <f>Reference!F13</f>
        <v>25444.393</v>
      </c>
      <c r="I15" s="13">
        <f>Reference!G13</f>
        <v>80.585999999999999</v>
      </c>
      <c r="J15" s="14">
        <f>H15/3600</f>
        <v>7.0678869444444441</v>
      </c>
      <c r="L15" s="12">
        <f>Test!B13</f>
        <v>18913.88</v>
      </c>
      <c r="M15" s="13">
        <f>Test!C13</f>
        <v>37.132199999999997</v>
      </c>
      <c r="N15" s="13">
        <f>Test!D13</f>
        <v>43.0047</v>
      </c>
      <c r="O15" s="13">
        <f>Test!E13</f>
        <v>42.572899999999997</v>
      </c>
      <c r="P15" s="13">
        <f>Test!F13</f>
        <v>751486.39199999999</v>
      </c>
      <c r="Q15" s="13">
        <f>Test!G13</f>
        <v>98.885000000000005</v>
      </c>
      <c r="R15" s="13">
        <f>P15/3600</f>
        <v>208.74621999999999</v>
      </c>
      <c r="S15" s="12">
        <f t="shared" si="4"/>
        <v>29.53445939936551</v>
      </c>
      <c r="T15" s="13">
        <f t="shared" si="5"/>
        <v>1.2270741816196362</v>
      </c>
      <c r="U15" s="60">
        <f t="shared" si="6"/>
        <v>1.0622406187844153</v>
      </c>
      <c r="V15" s="40">
        <f>bdrate($D15:$D18,E15:E18,$L15:$L18,M15:M18)</f>
        <v>-0.1369089286568832</v>
      </c>
      <c r="W15" s="40">
        <f>bdrate($D15:$D18,F15:F18,$L15:$L18,N15:N18)</f>
        <v>4.5082809841912264E-2</v>
      </c>
      <c r="X15" s="41">
        <f>bdrate($D15:$D18,G15:G18,$L15:$L18,O15:O18)</f>
        <v>5.0718349907872051E-2</v>
      </c>
      <c r="Y15" s="35">
        <f>bdrateOld($D15:$D18,E15:E18,$L15:$L18,M15:M18)</f>
        <v>-0.13763899002090252</v>
      </c>
      <c r="Z15" s="40">
        <f>bdrateOld($D15:$D18,F15:F18,$L15:$L18,N15:N18)</f>
        <v>4.6992618666311214E-2</v>
      </c>
      <c r="AA15" s="41">
        <f>bdrateOld($D15:$D18,G15:G18,$L15:$L18,O15:O18)</f>
        <v>5.2521313481154408E-2</v>
      </c>
    </row>
    <row r="16" spans="1:27" x14ac:dyDescent="0.2">
      <c r="A16" s="16"/>
      <c r="B16" s="57"/>
      <c r="C16" s="16">
        <v>38</v>
      </c>
      <c r="D16" s="17">
        <f>Reference!B14</f>
        <v>7140.5576000000001</v>
      </c>
      <c r="E16" s="18">
        <f>Reference!C14</f>
        <v>33.334299999999999</v>
      </c>
      <c r="F16" s="18">
        <f>Reference!D14</f>
        <v>40.774999999999999</v>
      </c>
      <c r="G16" s="18">
        <f>Reference!E14</f>
        <v>40.471299999999999</v>
      </c>
      <c r="H16" s="18">
        <f>Reference!F14</f>
        <v>20065.737000000001</v>
      </c>
      <c r="I16" s="18">
        <f>Reference!G14</f>
        <v>66.778000000000006</v>
      </c>
      <c r="J16" s="19">
        <f t="shared" ref="J16:J26" si="7">H16/3600</f>
        <v>5.5738158333333336</v>
      </c>
      <c r="L16" s="17">
        <f>Test!B14</f>
        <v>8229.3248000000003</v>
      </c>
      <c r="M16" s="18">
        <f>Test!C14</f>
        <v>34.232999999999997</v>
      </c>
      <c r="N16" s="18">
        <f>Test!D14</f>
        <v>41.153500000000001</v>
      </c>
      <c r="O16" s="18">
        <f>Test!E14</f>
        <v>40.800600000000003</v>
      </c>
      <c r="P16" s="18">
        <f>Test!F14</f>
        <v>394136.46799999999</v>
      </c>
      <c r="Q16" s="18">
        <f>Test!G14</f>
        <v>80.724999999999994</v>
      </c>
      <c r="R16" s="18">
        <f t="shared" ref="R16:R26" si="8">P16/3600</f>
        <v>109.48235222222222</v>
      </c>
      <c r="S16" s="17">
        <f t="shared" si="4"/>
        <v>19.642262230388049</v>
      </c>
      <c r="T16" s="18">
        <f t="shared" si="5"/>
        <v>1.2088562101290843</v>
      </c>
      <c r="U16" s="61">
        <f t="shared" si="6"/>
        <v>1.1524764956731111</v>
      </c>
      <c r="V16" s="25"/>
      <c r="W16" s="25"/>
      <c r="X16" s="48"/>
      <c r="Y16" s="36"/>
      <c r="Z16" s="25"/>
      <c r="AA16" s="48"/>
    </row>
    <row r="17" spans="1:27" x14ac:dyDescent="0.2">
      <c r="A17" s="16"/>
      <c r="B17" s="57"/>
      <c r="C17" s="16">
        <v>43</v>
      </c>
      <c r="D17" s="17">
        <f>Reference!B15</f>
        <v>3165.5095999999999</v>
      </c>
      <c r="E17" s="18">
        <f>Reference!C15</f>
        <v>30.059000000000001</v>
      </c>
      <c r="F17" s="18">
        <f>Reference!D15</f>
        <v>39.2911</v>
      </c>
      <c r="G17" s="18">
        <f>Reference!E15</f>
        <v>38.985500000000002</v>
      </c>
      <c r="H17" s="18">
        <f>Reference!F15</f>
        <v>17043.374</v>
      </c>
      <c r="I17" s="18">
        <f>Reference!G15</f>
        <v>59.697000000000003</v>
      </c>
      <c r="J17" s="19">
        <f t="shared" si="7"/>
        <v>4.7342705555555558</v>
      </c>
      <c r="L17" s="17">
        <f>Test!B15</f>
        <v>3296.6480000000001</v>
      </c>
      <c r="M17" s="18">
        <f>Test!C15</f>
        <v>30.9696</v>
      </c>
      <c r="N17" s="18">
        <f>Test!D15</f>
        <v>39.131799999999998</v>
      </c>
      <c r="O17" s="18">
        <f>Test!E15</f>
        <v>38.867600000000003</v>
      </c>
      <c r="P17" s="18">
        <f>Test!F15</f>
        <v>202297.51199999999</v>
      </c>
      <c r="Q17" s="18">
        <f>Test!G15</f>
        <v>68.215999999999994</v>
      </c>
      <c r="R17" s="18">
        <f t="shared" si="8"/>
        <v>56.193753333333333</v>
      </c>
      <c r="S17" s="17">
        <f t="shared" si="4"/>
        <v>11.86956948782559</v>
      </c>
      <c r="T17" s="18">
        <f t="shared" si="5"/>
        <v>1.1427039884751327</v>
      </c>
      <c r="U17" s="61">
        <f t="shared" si="6"/>
        <v>1.0414272634017601</v>
      </c>
      <c r="V17" s="25"/>
      <c r="W17" s="25"/>
      <c r="X17" s="48"/>
      <c r="Y17" s="36"/>
      <c r="Z17" s="25"/>
      <c r="AA17" s="48"/>
    </row>
    <row r="18" spans="1:27" ht="12.75" thickBot="1" x14ac:dyDescent="0.25">
      <c r="A18" s="16"/>
      <c r="B18" s="58"/>
      <c r="C18" s="21">
        <v>48</v>
      </c>
      <c r="D18" s="22">
        <f>Reference!B16</f>
        <v>1505.8432</v>
      </c>
      <c r="E18" s="23">
        <f>Reference!C16</f>
        <v>26.700800000000001</v>
      </c>
      <c r="F18" s="23">
        <f>Reference!D16</f>
        <v>38.173499999999997</v>
      </c>
      <c r="G18" s="23">
        <f>Reference!E16</f>
        <v>37.839300000000001</v>
      </c>
      <c r="H18" s="23">
        <f>Reference!F16</f>
        <v>15400.659</v>
      </c>
      <c r="I18" s="23">
        <f>Reference!G16</f>
        <v>55.005000000000003</v>
      </c>
      <c r="J18" s="24">
        <f t="shared" si="7"/>
        <v>4.2779608333333332</v>
      </c>
      <c r="L18" s="22">
        <f>Test!B16</f>
        <v>1479.3327999999999</v>
      </c>
      <c r="M18" s="23">
        <f>Test!C16</f>
        <v>27.585899999999999</v>
      </c>
      <c r="N18" s="23">
        <f>Test!D16</f>
        <v>37.287799999999997</v>
      </c>
      <c r="O18" s="23">
        <f>Test!E16</f>
        <v>37.008600000000001</v>
      </c>
      <c r="P18" s="23">
        <f>Test!F16</f>
        <v>115516.186</v>
      </c>
      <c r="Q18" s="23">
        <f>Test!G16</f>
        <v>59.088999999999999</v>
      </c>
      <c r="R18" s="23">
        <f t="shared" si="8"/>
        <v>32.087829444444445</v>
      </c>
      <c r="S18" s="22">
        <f t="shared" si="4"/>
        <v>7.5007300661614549</v>
      </c>
      <c r="T18" s="23">
        <f t="shared" si="5"/>
        <v>1.0742477956549403</v>
      </c>
      <c r="U18" s="62">
        <f t="shared" si="6"/>
        <v>0.98239497976947388</v>
      </c>
      <c r="V18" s="49"/>
      <c r="W18" s="49"/>
      <c r="X18" s="50"/>
      <c r="Y18" s="37"/>
      <c r="Z18" s="49"/>
      <c r="AA18" s="50"/>
    </row>
    <row r="19" spans="1:27" ht="14.25" x14ac:dyDescent="0.25">
      <c r="A19" s="78"/>
      <c r="B19" s="101" t="s">
        <v>83</v>
      </c>
      <c r="C19" s="11">
        <v>32</v>
      </c>
      <c r="D19" s="12">
        <f>Reference!B17</f>
        <v>15987.6576</v>
      </c>
      <c r="E19" s="13">
        <f>Reference!C17</f>
        <v>36.108499999999999</v>
      </c>
      <c r="F19" s="13">
        <f>Reference!D17</f>
        <v>44.691600000000001</v>
      </c>
      <c r="G19" s="13">
        <f>Reference!E17</f>
        <v>45.419699999999999</v>
      </c>
      <c r="H19" s="13">
        <f>Reference!F17</f>
        <v>30684.918000000001</v>
      </c>
      <c r="I19" s="13">
        <f>Reference!G17</f>
        <v>87.736000000000004</v>
      </c>
      <c r="J19" s="14">
        <f t="shared" si="7"/>
        <v>8.5235883333333344</v>
      </c>
      <c r="L19" s="12">
        <f>Test!B17</f>
        <v>17548.3256</v>
      </c>
      <c r="M19" s="13">
        <f>Test!C17</f>
        <v>36.762799999999999</v>
      </c>
      <c r="N19" s="13">
        <f>Test!D17</f>
        <v>44.984400000000001</v>
      </c>
      <c r="O19" s="13">
        <f>Test!E17</f>
        <v>45.610399999999998</v>
      </c>
      <c r="P19" s="13">
        <f>Test!F17</f>
        <v>927126.36</v>
      </c>
      <c r="Q19" s="13">
        <f>Test!G17</f>
        <v>124.795</v>
      </c>
      <c r="R19" s="13">
        <f t="shared" si="8"/>
        <v>257.5351</v>
      </c>
      <c r="S19" s="12">
        <f t="shared" si="4"/>
        <v>30.214399139016763</v>
      </c>
      <c r="T19" s="13">
        <f t="shared" si="5"/>
        <v>1.4223921765295888</v>
      </c>
      <c r="U19" s="60">
        <f t="shared" si="6"/>
        <v>1.0976170517937536</v>
      </c>
      <c r="V19" s="40">
        <f>bdrate($D19:$D22,E19:E22,$L19:$L22,M19:M22)</f>
        <v>-0.15061878526253258</v>
      </c>
      <c r="W19" s="40">
        <f>bdrate($D19:$D22,F19:F22,$L19:$L22,N19:N22)</f>
        <v>-4.9615369544438681E-2</v>
      </c>
      <c r="X19" s="40">
        <f>bdrate($D19:$D22,G19:G22,$L19:$L22,O19:O22)</f>
        <v>-2.7147215066990582E-2</v>
      </c>
      <c r="Y19" s="38">
        <f>bdrateOld($D19:$D22,E19:E22,$L19:$L22,M19:M22)</f>
        <v>-0.15035203872635283</v>
      </c>
      <c r="Z19" s="42">
        <f>bdrateOld($D19:$D22,F19:F22,$L19:$L22,N19:N22)</f>
        <v>-4.6988568289181409E-2</v>
      </c>
      <c r="AA19" s="43">
        <f>bdrateOld($D19:$D22,G19:G22,$L19:$L22,O19:O22)</f>
        <v>-3.4691460155989673E-2</v>
      </c>
    </row>
    <row r="20" spans="1:27" x14ac:dyDescent="0.2">
      <c r="A20" s="16"/>
      <c r="B20" s="57"/>
      <c r="C20" s="16">
        <v>38</v>
      </c>
      <c r="D20" s="17">
        <f>Reference!B18</f>
        <v>5909.9704000000002</v>
      </c>
      <c r="E20" s="18">
        <f>Reference!C18</f>
        <v>33.332299999999996</v>
      </c>
      <c r="F20" s="18">
        <f>Reference!D18</f>
        <v>42.618499999999997</v>
      </c>
      <c r="G20" s="18">
        <f>Reference!E18</f>
        <v>43.811</v>
      </c>
      <c r="H20" s="18">
        <f>Reference!F18</f>
        <v>21660.174999999999</v>
      </c>
      <c r="I20" s="18">
        <f>Reference!G18</f>
        <v>68.313000000000002</v>
      </c>
      <c r="J20" s="19">
        <f t="shared" si="7"/>
        <v>6.0167152777777773</v>
      </c>
      <c r="L20" s="17">
        <f>Test!B18</f>
        <v>6786.2951999999996</v>
      </c>
      <c r="M20" s="18">
        <f>Test!C18</f>
        <v>34.1282</v>
      </c>
      <c r="N20" s="18">
        <f>Test!D18</f>
        <v>43.188200000000002</v>
      </c>
      <c r="O20" s="18">
        <f>Test!E18</f>
        <v>44.233699999999999</v>
      </c>
      <c r="P20" s="18">
        <f>Test!F18</f>
        <v>387960.53600000002</v>
      </c>
      <c r="Q20" s="18">
        <f>Test!G18</f>
        <v>87.28</v>
      </c>
      <c r="R20" s="18">
        <f t="shared" si="8"/>
        <v>107.76681555555557</v>
      </c>
      <c r="S20" s="17">
        <f t="shared" si="4"/>
        <v>17.911237374582615</v>
      </c>
      <c r="T20" s="18">
        <f t="shared" si="5"/>
        <v>1.2776484710084464</v>
      </c>
      <c r="U20" s="61">
        <f t="shared" si="6"/>
        <v>1.1482790506023515</v>
      </c>
      <c r="V20" s="25"/>
      <c r="W20" s="25"/>
      <c r="X20" s="25"/>
      <c r="Y20" s="36"/>
      <c r="Z20" s="25"/>
      <c r="AA20" s="48"/>
    </row>
    <row r="21" spans="1:27" x14ac:dyDescent="0.2">
      <c r="A21" s="16"/>
      <c r="B21" s="57"/>
      <c r="C21" s="16">
        <v>43</v>
      </c>
      <c r="D21" s="17">
        <f>Reference!B19</f>
        <v>2427.7840000000001</v>
      </c>
      <c r="E21" s="18">
        <f>Reference!C19</f>
        <v>30.8064</v>
      </c>
      <c r="F21" s="18">
        <f>Reference!D19</f>
        <v>41.092100000000002</v>
      </c>
      <c r="G21" s="18">
        <f>Reference!E19</f>
        <v>42.7986</v>
      </c>
      <c r="H21" s="18">
        <f>Reference!F19</f>
        <v>17673.698</v>
      </c>
      <c r="I21" s="18">
        <f>Reference!G19</f>
        <v>59.619</v>
      </c>
      <c r="J21" s="19">
        <f t="shared" si="7"/>
        <v>4.9093605555555557</v>
      </c>
      <c r="L21" s="17">
        <f>Test!B19</f>
        <v>2568.8184000000001</v>
      </c>
      <c r="M21" s="18">
        <f>Test!C19</f>
        <v>31.446400000000001</v>
      </c>
      <c r="N21" s="18">
        <f>Test!D19</f>
        <v>41.211599999999997</v>
      </c>
      <c r="O21" s="18">
        <f>Test!E19</f>
        <v>42.808399999999999</v>
      </c>
      <c r="P21" s="18">
        <f>Test!F19</f>
        <v>186974.00899999999</v>
      </c>
      <c r="Q21" s="18">
        <f>Test!G19</f>
        <v>72.709999999999994</v>
      </c>
      <c r="R21" s="18">
        <f t="shared" si="8"/>
        <v>51.937224722222219</v>
      </c>
      <c r="S21" s="17">
        <f t="shared" si="4"/>
        <v>10.579223940569765</v>
      </c>
      <c r="T21" s="18">
        <f t="shared" si="5"/>
        <v>1.2195776514198493</v>
      </c>
      <c r="U21" s="61">
        <f t="shared" si="6"/>
        <v>1.0580918236548227</v>
      </c>
      <c r="V21" s="25"/>
      <c r="W21" s="25"/>
      <c r="X21" s="25"/>
      <c r="Y21" s="36"/>
      <c r="Z21" s="25"/>
      <c r="AA21" s="48"/>
    </row>
    <row r="22" spans="1:27" ht="12.75" thickBot="1" x14ac:dyDescent="0.25">
      <c r="A22" s="16"/>
      <c r="B22" s="57"/>
      <c r="C22" s="16">
        <v>48</v>
      </c>
      <c r="D22" s="17">
        <f>Reference!B20</f>
        <v>978.87199999999996</v>
      </c>
      <c r="E22" s="18">
        <f>Reference!C20</f>
        <v>28.2912</v>
      </c>
      <c r="F22" s="18">
        <f>Reference!D20</f>
        <v>39.856200000000001</v>
      </c>
      <c r="G22" s="18">
        <f>Reference!E20</f>
        <v>41.797400000000003</v>
      </c>
      <c r="H22" s="18">
        <f>Reference!F20</f>
        <v>15534.986000000001</v>
      </c>
      <c r="I22" s="18">
        <f>Reference!G20</f>
        <v>53.512999999999998</v>
      </c>
      <c r="J22" s="19">
        <f t="shared" si="7"/>
        <v>4.3152738888888891</v>
      </c>
      <c r="L22" s="17">
        <f>Test!B20</f>
        <v>971.16800000000001</v>
      </c>
      <c r="M22" s="18">
        <f>Test!C20</f>
        <v>28.828299999999999</v>
      </c>
      <c r="N22" s="18">
        <f>Test!D20</f>
        <v>39.1937</v>
      </c>
      <c r="O22" s="18">
        <f>Test!E20</f>
        <v>41.220500000000001</v>
      </c>
      <c r="P22" s="18">
        <f>Test!F20</f>
        <v>97426.790999999997</v>
      </c>
      <c r="Q22" s="18">
        <f>Test!G20</f>
        <v>59.466999999999999</v>
      </c>
      <c r="R22" s="18">
        <f t="shared" si="8"/>
        <v>27.062997499999998</v>
      </c>
      <c r="S22" s="22">
        <f t="shared" si="4"/>
        <v>6.2714437592669858</v>
      </c>
      <c r="T22" s="23">
        <f t="shared" si="5"/>
        <v>1.1112626838338349</v>
      </c>
      <c r="U22" s="62">
        <f t="shared" si="6"/>
        <v>0.99212971665345417</v>
      </c>
      <c r="V22" s="25"/>
      <c r="W22" s="25"/>
      <c r="X22" s="25"/>
      <c r="Y22" s="36"/>
      <c r="Z22" s="25"/>
      <c r="AA22" s="48"/>
    </row>
    <row r="23" spans="1:27" ht="14.25" x14ac:dyDescent="0.25">
      <c r="A23" s="33"/>
      <c r="B23" s="98" t="s">
        <v>85</v>
      </c>
      <c r="C23" s="11">
        <v>32</v>
      </c>
      <c r="D23" s="12">
        <f>Reference!B21</f>
        <v>53999.968000000001</v>
      </c>
      <c r="E23" s="13">
        <f>Reference!C21</f>
        <v>35.781599999999997</v>
      </c>
      <c r="F23" s="13">
        <f>Reference!D21</f>
        <v>44.176600000000001</v>
      </c>
      <c r="G23" s="13">
        <f>Reference!E21</f>
        <v>44.660400000000003</v>
      </c>
      <c r="H23" s="13">
        <f>Reference!F21</f>
        <v>37125.237000000001</v>
      </c>
      <c r="I23" s="13">
        <f>Reference!G21</f>
        <v>109.524</v>
      </c>
      <c r="J23" s="14">
        <f t="shared" si="7"/>
        <v>10.312565833333334</v>
      </c>
      <c r="K23" s="47"/>
      <c r="L23" s="12">
        <f>Test!B21</f>
        <v>56461.174400000004</v>
      </c>
      <c r="M23" s="13">
        <f>Test!C21</f>
        <v>36.400300000000001</v>
      </c>
      <c r="N23" s="13">
        <f>Test!D21</f>
        <v>44.377200000000002</v>
      </c>
      <c r="O23" s="13">
        <f>Test!E21</f>
        <v>44.758600000000001</v>
      </c>
      <c r="P23" s="13">
        <f>Test!F21</f>
        <v>1539857.4879999999</v>
      </c>
      <c r="Q23" s="13">
        <f>Test!G21</f>
        <v>153.077</v>
      </c>
      <c r="R23" s="13">
        <f t="shared" si="8"/>
        <v>427.73819111111106</v>
      </c>
      <c r="S23" s="12">
        <f t="shared" si="4"/>
        <v>41.477377989533103</v>
      </c>
      <c r="T23" s="13">
        <f t="shared" si="5"/>
        <v>1.3976571345093312</v>
      </c>
      <c r="U23" s="60">
        <f t="shared" si="6"/>
        <v>1.0455779233054361</v>
      </c>
      <c r="V23" s="40">
        <f>bdrate($D23:$D26,E23:E26,$L23:$L26,M23:M26)</f>
        <v>-0.14393058880331422</v>
      </c>
      <c r="W23" s="40">
        <f>bdrate($D23:$D26,F23:F26,$L23:$L26,N23:N26)</f>
        <v>0.17188911984239108</v>
      </c>
      <c r="X23" s="40">
        <f>bdrate($D23:$D26,G23:G26,$L23:$L26,O23:O26)</f>
        <v>0.18429281407611531</v>
      </c>
      <c r="Y23" s="35">
        <f>bdrateOld($D23:$D26,E23:E26,$L23:$L26,M23:M26)</f>
        <v>-0.15106112228948887</v>
      </c>
      <c r="Z23" s="40">
        <f>bdrateOld($D23:$D26,F23:F26,$L23:$L26,N23:N26)</f>
        <v>0.15341053692976181</v>
      </c>
      <c r="AA23" s="41">
        <f>bdrateOld($D23:$D26,G23:G26,$L23:$L26,O23:O26)</f>
        <v>0.16501508241630836</v>
      </c>
    </row>
    <row r="24" spans="1:27" x14ac:dyDescent="0.2">
      <c r="A24" s="96"/>
      <c r="B24" s="16"/>
      <c r="C24" s="16">
        <v>38</v>
      </c>
      <c r="D24" s="17">
        <f>Reference!B22</f>
        <v>20602.883999999998</v>
      </c>
      <c r="E24" s="18">
        <f>Reference!C22</f>
        <v>32.078499999999998</v>
      </c>
      <c r="F24" s="18">
        <f>Reference!D22</f>
        <v>42.267899999999997</v>
      </c>
      <c r="G24" s="18">
        <f>Reference!E22</f>
        <v>43.119700000000002</v>
      </c>
      <c r="H24" s="18">
        <f>Reference!F22</f>
        <v>27300.898000000001</v>
      </c>
      <c r="I24" s="18">
        <f>Reference!G22</f>
        <v>83.262</v>
      </c>
      <c r="J24" s="19">
        <f t="shared" si="7"/>
        <v>7.583582777777778</v>
      </c>
      <c r="K24" s="20"/>
      <c r="L24" s="17">
        <f>Test!B22</f>
        <v>25199.004000000001</v>
      </c>
      <c r="M24" s="18">
        <f>Test!C22</f>
        <v>33.087699999999998</v>
      </c>
      <c r="N24" s="18">
        <f>Test!D22</f>
        <v>42.599200000000003</v>
      </c>
      <c r="O24" s="18">
        <f>Test!E22</f>
        <v>43.354500000000002</v>
      </c>
      <c r="P24" s="18">
        <f>Test!F22</f>
        <v>936096.58799999999</v>
      </c>
      <c r="Q24" s="18">
        <f>Test!G22</f>
        <v>114.98699999999999</v>
      </c>
      <c r="R24" s="18">
        <f t="shared" si="8"/>
        <v>260.02683000000002</v>
      </c>
      <c r="S24" s="17">
        <f t="shared" si="4"/>
        <v>34.288124441913958</v>
      </c>
      <c r="T24" s="18">
        <f t="shared" si="5"/>
        <v>1.381026158391583</v>
      </c>
      <c r="U24" s="61">
        <f t="shared" si="6"/>
        <v>1.2230813899646285</v>
      </c>
      <c r="V24" s="25"/>
      <c r="W24" s="25"/>
      <c r="X24" s="25"/>
      <c r="Y24" s="36"/>
      <c r="Z24" s="25"/>
      <c r="AA24" s="48"/>
    </row>
    <row r="25" spans="1:27" x14ac:dyDescent="0.2">
      <c r="A25" s="96"/>
      <c r="B25" s="33"/>
      <c r="C25" s="16">
        <v>43</v>
      </c>
      <c r="D25" s="17">
        <f>Reference!B23</f>
        <v>4832.5280000000002</v>
      </c>
      <c r="E25" s="18">
        <f>Reference!C23</f>
        <v>28.8476</v>
      </c>
      <c r="F25" s="18">
        <f>Reference!D23</f>
        <v>40.9878</v>
      </c>
      <c r="G25" s="18">
        <f>Reference!E23</f>
        <v>42.056199999999997</v>
      </c>
      <c r="H25" s="18">
        <f>Reference!F23</f>
        <v>19150.63</v>
      </c>
      <c r="I25" s="18">
        <f>Reference!G23</f>
        <v>64.093000000000004</v>
      </c>
      <c r="J25" s="19">
        <f t="shared" si="7"/>
        <v>5.3196194444444451</v>
      </c>
      <c r="K25" s="20"/>
      <c r="L25" s="17">
        <f>Test!B23</f>
        <v>5987.6791999999996</v>
      </c>
      <c r="M25" s="18">
        <f>Test!C23</f>
        <v>29.6661</v>
      </c>
      <c r="N25" s="18">
        <f>Test!D23</f>
        <v>40.794800000000002</v>
      </c>
      <c r="O25" s="18">
        <f>Test!E23</f>
        <v>41.924900000000001</v>
      </c>
      <c r="P25" s="18">
        <f>Test!F23</f>
        <v>403323.16600000003</v>
      </c>
      <c r="Q25" s="18">
        <f>Test!G23</f>
        <v>80.269000000000005</v>
      </c>
      <c r="R25" s="18">
        <f t="shared" si="8"/>
        <v>112.03421277777778</v>
      </c>
      <c r="S25" s="17">
        <f t="shared" si="4"/>
        <v>21.060569077884121</v>
      </c>
      <c r="T25" s="18">
        <f t="shared" si="5"/>
        <v>1.2523832555817329</v>
      </c>
      <c r="U25" s="61">
        <f t="shared" si="6"/>
        <v>1.2390366284478846</v>
      </c>
      <c r="V25" s="25"/>
      <c r="W25" s="25"/>
      <c r="X25" s="25"/>
      <c r="Y25" s="36"/>
      <c r="Z25" s="25"/>
      <c r="AA25" s="48"/>
    </row>
    <row r="26" spans="1:27" ht="12.75" thickBot="1" x14ac:dyDescent="0.25">
      <c r="A26" s="96"/>
      <c r="B26" s="33"/>
      <c r="C26" s="16">
        <v>48</v>
      </c>
      <c r="D26" s="17">
        <f>Reference!B24</f>
        <v>1322.904</v>
      </c>
      <c r="E26" s="18">
        <f>Reference!C24</f>
        <v>25.866499999999998</v>
      </c>
      <c r="F26" s="18">
        <f>Reference!D24</f>
        <v>40.0045</v>
      </c>
      <c r="G26" s="18">
        <f>Reference!E24</f>
        <v>41.196899999999999</v>
      </c>
      <c r="H26" s="18">
        <f>Reference!F24</f>
        <v>15169.424999999999</v>
      </c>
      <c r="I26" s="18">
        <f>Reference!G24</f>
        <v>54.279000000000003</v>
      </c>
      <c r="J26" s="19">
        <f t="shared" si="7"/>
        <v>4.2137291666666661</v>
      </c>
      <c r="K26" s="20"/>
      <c r="L26" s="17">
        <f>Test!B24</f>
        <v>1350.9416000000001</v>
      </c>
      <c r="M26" s="18">
        <f>Test!C24</f>
        <v>26.511399999999998</v>
      </c>
      <c r="N26" s="18">
        <f>Test!D24</f>
        <v>39.085700000000003</v>
      </c>
      <c r="O26" s="18">
        <f>Test!E24</f>
        <v>40.482399999999998</v>
      </c>
      <c r="P26" s="18">
        <f>Test!F24</f>
        <v>131997.079</v>
      </c>
      <c r="Q26" s="18">
        <f>Test!G24</f>
        <v>61.856999999999999</v>
      </c>
      <c r="R26" s="18">
        <f t="shared" si="8"/>
        <v>36.66585527777778</v>
      </c>
      <c r="S26" s="22">
        <f t="shared" si="4"/>
        <v>8.7015215804158696</v>
      </c>
      <c r="T26" s="23">
        <f t="shared" si="5"/>
        <v>1.1396120046426794</v>
      </c>
      <c r="U26" s="62">
        <f t="shared" si="6"/>
        <v>1.0211939793061326</v>
      </c>
      <c r="V26" s="25"/>
      <c r="W26" s="25"/>
      <c r="X26" s="25"/>
      <c r="Y26" s="36"/>
      <c r="Z26" s="25"/>
      <c r="AA26" s="48"/>
    </row>
    <row r="27" spans="1:27" ht="14.25" x14ac:dyDescent="0.25">
      <c r="A27" s="59"/>
      <c r="B27" s="98" t="s">
        <v>50</v>
      </c>
      <c r="C27" s="11">
        <v>32</v>
      </c>
      <c r="D27" s="12">
        <f>Reference!B25</f>
        <v>10241.456</v>
      </c>
      <c r="E27" s="13">
        <f>Reference!C25</f>
        <v>34.2029</v>
      </c>
      <c r="F27" s="13">
        <f>Reference!D25</f>
        <v>41.291600000000003</v>
      </c>
      <c r="G27" s="13">
        <f>Reference!E25</f>
        <v>42.590499999999999</v>
      </c>
      <c r="H27" s="13">
        <f>Reference!F25</f>
        <v>8990.8809999999994</v>
      </c>
      <c r="I27" s="13">
        <f>Reference!G25</f>
        <v>26.114999999999998</v>
      </c>
      <c r="J27" s="14">
        <f t="shared" ref="J27:J38" si="9">H27/3600</f>
        <v>2.4974669444444442</v>
      </c>
      <c r="K27" s="47"/>
      <c r="L27" s="12">
        <f>Test!B25</f>
        <v>10726.308000000001</v>
      </c>
      <c r="M27" s="13">
        <f>Test!C25</f>
        <v>34.6464</v>
      </c>
      <c r="N27" s="13">
        <f>Test!D25</f>
        <v>41.338200000000001</v>
      </c>
      <c r="O27" s="13">
        <f>Test!E25</f>
        <v>42.575299999999999</v>
      </c>
      <c r="P27" s="13">
        <f>Test!F25</f>
        <v>354622.99200000003</v>
      </c>
      <c r="Q27" s="13">
        <f>Test!G25</f>
        <v>34.628</v>
      </c>
      <c r="R27" s="13">
        <f t="shared" ref="R27:R38" si="10">P27/3600</f>
        <v>98.506386666666671</v>
      </c>
      <c r="S27" s="12">
        <f t="shared" si="4"/>
        <v>39.442518703117088</v>
      </c>
      <c r="T27" s="13">
        <f t="shared" si="5"/>
        <v>1.3259812368370669</v>
      </c>
      <c r="U27" s="60">
        <f t="shared" si="6"/>
        <v>1.0473420966706297</v>
      </c>
      <c r="V27" s="40">
        <f>bdrate($D27:$D30,E27:E30,$L27:$L30,M27:M30)</f>
        <v>-0.10322963076919678</v>
      </c>
      <c r="W27" s="40">
        <f>bdrate($D27:$D30,F27:F30,$L27:$L30,N27:N30)</f>
        <v>0.18312026662566239</v>
      </c>
      <c r="X27" s="40">
        <f>bdrate($D27:$D30,G27:G30,$L27:$L30,O27:O30)</f>
        <v>0.1981022507905339</v>
      </c>
      <c r="Y27" s="35">
        <f>bdrateOld($D27:$D30,E27:E30,$L27:$L30,M27:M30)</f>
        <v>-0.10360741938243068</v>
      </c>
      <c r="Z27" s="40">
        <f>bdrateOld($D27:$D30,F27:F30,$L27:$L30,N27:N30)</f>
        <v>0.18769516136031061</v>
      </c>
      <c r="AA27" s="41">
        <f>bdrateOld($D27:$D30,G27:G30,$L27:$L30,O27:O30)</f>
        <v>0.19923870904729934</v>
      </c>
    </row>
    <row r="28" spans="1:27" x14ac:dyDescent="0.2">
      <c r="A28" s="16"/>
      <c r="B28" s="16"/>
      <c r="C28" s="16">
        <v>38</v>
      </c>
      <c r="D28" s="17">
        <f>Reference!B26</f>
        <v>4770.7191999999995</v>
      </c>
      <c r="E28" s="18">
        <f>Reference!C26</f>
        <v>30.652699999999999</v>
      </c>
      <c r="F28" s="18">
        <f>Reference!D26</f>
        <v>39.405000000000001</v>
      </c>
      <c r="G28" s="18">
        <f>Reference!E26</f>
        <v>41.007300000000001</v>
      </c>
      <c r="H28" s="18">
        <f>Reference!F26</f>
        <v>6740.9080000000004</v>
      </c>
      <c r="I28" s="18">
        <f>Reference!G26</f>
        <v>21.126000000000001</v>
      </c>
      <c r="J28" s="19">
        <f t="shared" si="9"/>
        <v>1.8724744444444446</v>
      </c>
      <c r="K28" s="20"/>
      <c r="L28" s="17">
        <f>Test!B26</f>
        <v>5350.8832000000002</v>
      </c>
      <c r="M28" s="18">
        <f>Test!C26</f>
        <v>31.446100000000001</v>
      </c>
      <c r="N28" s="18">
        <f>Test!D26</f>
        <v>39.4878</v>
      </c>
      <c r="O28" s="18">
        <f>Test!E26</f>
        <v>41.056100000000001</v>
      </c>
      <c r="P28" s="18">
        <f>Test!F26</f>
        <v>218330.43599999999</v>
      </c>
      <c r="Q28" s="18">
        <f>Test!G26</f>
        <v>25.904</v>
      </c>
      <c r="R28" s="18">
        <f t="shared" si="10"/>
        <v>60.647343333333332</v>
      </c>
      <c r="S28" s="17">
        <f t="shared" si="4"/>
        <v>32.388876394693412</v>
      </c>
      <c r="T28" s="18">
        <f t="shared" si="5"/>
        <v>1.2261668086717787</v>
      </c>
      <c r="U28" s="61">
        <f t="shared" si="6"/>
        <v>1.1216093372252973</v>
      </c>
      <c r="V28" s="25"/>
      <c r="W28" s="25"/>
      <c r="X28" s="25"/>
      <c r="Y28" s="36"/>
      <c r="Z28" s="25"/>
      <c r="AA28" s="48"/>
    </row>
    <row r="29" spans="1:27" x14ac:dyDescent="0.2">
      <c r="A29" s="16"/>
      <c r="B29" s="16"/>
      <c r="C29" s="16">
        <v>43</v>
      </c>
      <c r="D29" s="17">
        <f>Reference!B27</f>
        <v>1913.3088</v>
      </c>
      <c r="E29" s="18">
        <f>Reference!C27</f>
        <v>27.386700000000001</v>
      </c>
      <c r="F29" s="18">
        <f>Reference!D27</f>
        <v>38.068600000000004</v>
      </c>
      <c r="G29" s="18">
        <f>Reference!E27</f>
        <v>39.820399999999999</v>
      </c>
      <c r="H29" s="18">
        <f>Reference!F27</f>
        <v>5295.7280000000001</v>
      </c>
      <c r="I29" s="18">
        <f>Reference!G27</f>
        <v>17.884</v>
      </c>
      <c r="J29" s="19">
        <f t="shared" si="9"/>
        <v>1.4710355555555557</v>
      </c>
      <c r="K29" s="20"/>
      <c r="L29" s="17">
        <f>Test!B27</f>
        <v>2078.5448000000001</v>
      </c>
      <c r="M29" s="18">
        <f>Test!C27</f>
        <v>28.108599999999999</v>
      </c>
      <c r="N29" s="18">
        <f>Test!D27</f>
        <v>37.756100000000004</v>
      </c>
      <c r="O29" s="18">
        <f>Test!E27</f>
        <v>39.551600000000001</v>
      </c>
      <c r="P29" s="18">
        <f>Test!F27</f>
        <v>123657.016</v>
      </c>
      <c r="Q29" s="18">
        <f>Test!G27</f>
        <v>20.666</v>
      </c>
      <c r="R29" s="18">
        <f t="shared" si="10"/>
        <v>34.349171111111112</v>
      </c>
      <c r="S29" s="17">
        <f t="shared" si="4"/>
        <v>23.350333702939427</v>
      </c>
      <c r="T29" s="18">
        <f t="shared" si="5"/>
        <v>1.1555580407067769</v>
      </c>
      <c r="U29" s="61">
        <f t="shared" si="6"/>
        <v>1.0863613860972154</v>
      </c>
      <c r="V29" s="25"/>
      <c r="W29" s="25"/>
      <c r="X29" s="25"/>
      <c r="Y29" s="36"/>
      <c r="Z29" s="25"/>
      <c r="AA29" s="48"/>
    </row>
    <row r="30" spans="1:27" ht="12.75" thickBot="1" x14ac:dyDescent="0.25">
      <c r="A30" s="16"/>
      <c r="B30" s="21"/>
      <c r="C30" s="21">
        <v>48</v>
      </c>
      <c r="D30" s="17">
        <f>Reference!B28</f>
        <v>715.08399999999995</v>
      </c>
      <c r="E30" s="18">
        <f>Reference!C28</f>
        <v>24.3949</v>
      </c>
      <c r="F30" s="18">
        <f>Reference!D28</f>
        <v>37.061599999999999</v>
      </c>
      <c r="G30" s="18">
        <f>Reference!E28</f>
        <v>38.847999999999999</v>
      </c>
      <c r="H30" s="18">
        <f>Reference!F28</f>
        <v>4323.75</v>
      </c>
      <c r="I30" s="18">
        <f>Reference!G28</f>
        <v>15.337999999999999</v>
      </c>
      <c r="J30" s="24">
        <f t="shared" si="9"/>
        <v>1.2010416666666666</v>
      </c>
      <c r="K30" s="20"/>
      <c r="L30" s="17">
        <f>Test!B28</f>
        <v>741.41840000000002</v>
      </c>
      <c r="M30" s="18">
        <f>Test!C28</f>
        <v>25.034300000000002</v>
      </c>
      <c r="N30" s="18">
        <f>Test!D28</f>
        <v>36.177300000000002</v>
      </c>
      <c r="O30" s="18">
        <f>Test!E28</f>
        <v>38.062800000000003</v>
      </c>
      <c r="P30" s="18">
        <f>Test!F28</f>
        <v>60105.392999999996</v>
      </c>
      <c r="Q30" s="18">
        <f>Test!G28</f>
        <v>17.109000000000002</v>
      </c>
      <c r="R30" s="23">
        <f t="shared" si="10"/>
        <v>16.695942499999997</v>
      </c>
      <c r="S30" s="22">
        <f t="shared" si="4"/>
        <v>13.901218386816998</v>
      </c>
      <c r="T30" s="23">
        <f t="shared" si="5"/>
        <v>1.1154648585213198</v>
      </c>
      <c r="U30" s="62">
        <f t="shared" si="6"/>
        <v>1.0368270021424058</v>
      </c>
      <c r="V30" s="49"/>
      <c r="W30" s="49"/>
      <c r="X30" s="49"/>
      <c r="Y30" s="37"/>
      <c r="Z30" s="49"/>
      <c r="AA30" s="50"/>
    </row>
    <row r="31" spans="1:27" ht="14.25" x14ac:dyDescent="0.25">
      <c r="A31" s="16"/>
      <c r="B31" s="99" t="s">
        <v>51</v>
      </c>
      <c r="C31" s="11">
        <v>32</v>
      </c>
      <c r="D31" s="12">
        <f>Reference!B29</f>
        <v>6838.5944</v>
      </c>
      <c r="E31" s="13">
        <f>Reference!C29</f>
        <v>37.456499999999998</v>
      </c>
      <c r="F31" s="13">
        <f>Reference!D29</f>
        <v>44.389200000000002</v>
      </c>
      <c r="G31" s="13">
        <f>Reference!E29</f>
        <v>46.617699999999999</v>
      </c>
      <c r="H31" s="13">
        <f>Reference!F29</f>
        <v>7296.0640000000003</v>
      </c>
      <c r="I31" s="13">
        <f>Reference!G29</f>
        <v>23.588000000000001</v>
      </c>
      <c r="J31" s="14">
        <f t="shared" si="9"/>
        <v>2.0266844444444447</v>
      </c>
      <c r="K31" s="20"/>
      <c r="L31" s="12">
        <f>Test!B29</f>
        <v>7002.3440000000001</v>
      </c>
      <c r="M31" s="13">
        <f>Test!C29</f>
        <v>37.908299999999997</v>
      </c>
      <c r="N31" s="13">
        <f>Test!D29</f>
        <v>44.672800000000002</v>
      </c>
      <c r="O31" s="13">
        <f>Test!E29</f>
        <v>46.826799999999999</v>
      </c>
      <c r="P31" s="13">
        <f>Test!F29</f>
        <v>223902.38</v>
      </c>
      <c r="Q31" s="13">
        <f>Test!G29</f>
        <v>28.43</v>
      </c>
      <c r="R31" s="13">
        <f t="shared" si="10"/>
        <v>62.195105555555557</v>
      </c>
      <c r="S31" s="12">
        <f t="shared" si="4"/>
        <v>30.688105257848616</v>
      </c>
      <c r="T31" s="13">
        <f t="shared" si="5"/>
        <v>1.2052738680685093</v>
      </c>
      <c r="U31" s="60">
        <f t="shared" si="6"/>
        <v>1.0239449206111713</v>
      </c>
      <c r="V31" s="40">
        <f>bdrate($D31:$D34,E31:E34,$L31:$L34,M31:M34)</f>
        <v>-0.15186328241019187</v>
      </c>
      <c r="W31" s="40">
        <f>bdrate($D31:$D34,F31:F34,$L31:$L34,N31:N34)</f>
        <v>-1.4358185988652128E-2</v>
      </c>
      <c r="X31" s="40">
        <f>bdrate($D31:$D34,G31:G34,$L31:$L34,O31:O34)</f>
        <v>-1.1329054450022302E-2</v>
      </c>
      <c r="Y31" s="38">
        <f>bdrateOld($D31:$D34,E31:E34,$L31:$L34,M31:M34)</f>
        <v>-0.15245631986541541</v>
      </c>
      <c r="Z31" s="42">
        <f>bdrateOld($D31:$D34,F31:F34,$L31:$L34,N31:N34)</f>
        <v>-1.2834218554144128E-2</v>
      </c>
      <c r="AA31" s="43">
        <f>bdrateOld($D31:$D34,G31:G34,$L31:$L34,O31:O34)</f>
        <v>-1.2259976834263497E-2</v>
      </c>
    </row>
    <row r="32" spans="1:27" x14ac:dyDescent="0.2">
      <c r="A32" s="16"/>
      <c r="B32" s="16"/>
      <c r="C32" s="16">
        <v>38</v>
      </c>
      <c r="D32" s="17">
        <f>Reference!B30</f>
        <v>3457.2456000000002</v>
      </c>
      <c r="E32" s="18">
        <f>Reference!C30</f>
        <v>34.402700000000003</v>
      </c>
      <c r="F32" s="18">
        <f>Reference!D30</f>
        <v>42.422499999999999</v>
      </c>
      <c r="G32" s="18">
        <f>Reference!E30</f>
        <v>44.831600000000002</v>
      </c>
      <c r="H32" s="18">
        <f>Reference!F30</f>
        <v>6060.6840000000002</v>
      </c>
      <c r="I32" s="18">
        <f>Reference!G30</f>
        <v>19.806000000000001</v>
      </c>
      <c r="J32" s="19">
        <f t="shared" si="9"/>
        <v>1.6835233333333335</v>
      </c>
      <c r="K32" s="20"/>
      <c r="L32" s="17">
        <f>Test!B30</f>
        <v>3770.9888000000001</v>
      </c>
      <c r="M32" s="18">
        <f>Test!C30</f>
        <v>35.303100000000001</v>
      </c>
      <c r="N32" s="18">
        <f>Test!D30</f>
        <v>42.867100000000001</v>
      </c>
      <c r="O32" s="18">
        <f>Test!E30</f>
        <v>45.251600000000003</v>
      </c>
      <c r="P32" s="18">
        <f>Test!F30</f>
        <v>147303.652</v>
      </c>
      <c r="Q32" s="18">
        <f>Test!G30</f>
        <v>25.154</v>
      </c>
      <c r="R32" s="18">
        <f t="shared" si="10"/>
        <v>40.917681111111115</v>
      </c>
      <c r="S32" s="17">
        <f t="shared" si="4"/>
        <v>24.304790020400336</v>
      </c>
      <c r="T32" s="18">
        <f t="shared" si="5"/>
        <v>1.2700191861052206</v>
      </c>
      <c r="U32" s="61">
        <f t="shared" si="6"/>
        <v>1.0907494683050576</v>
      </c>
      <c r="V32" s="25"/>
      <c r="W32" s="25"/>
      <c r="X32" s="25"/>
      <c r="Y32" s="36"/>
      <c r="Z32" s="25"/>
      <c r="AA32" s="48"/>
    </row>
    <row r="33" spans="1:27" x14ac:dyDescent="0.2">
      <c r="A33" s="16"/>
      <c r="B33" s="16"/>
      <c r="C33" s="16">
        <v>43</v>
      </c>
      <c r="D33" s="17">
        <f>Reference!B31</f>
        <v>1636.5496000000001</v>
      </c>
      <c r="E33" s="18">
        <f>Reference!C31</f>
        <v>31.255700000000001</v>
      </c>
      <c r="F33" s="18">
        <f>Reference!D31</f>
        <v>40.913899999999998</v>
      </c>
      <c r="G33" s="18">
        <f>Reference!E31</f>
        <v>43.317</v>
      </c>
      <c r="H33" s="18">
        <f>Reference!F31</f>
        <v>5124.7749999999996</v>
      </c>
      <c r="I33" s="18">
        <f>Reference!G31</f>
        <v>17.361999999999998</v>
      </c>
      <c r="J33" s="19">
        <f t="shared" si="9"/>
        <v>1.4235486111111111</v>
      </c>
      <c r="K33" s="20"/>
      <c r="L33" s="17">
        <f>Test!B31</f>
        <v>1710.1392000000001</v>
      </c>
      <c r="M33" s="18">
        <f>Test!C31</f>
        <v>32.231200000000001</v>
      </c>
      <c r="N33" s="18">
        <f>Test!D31</f>
        <v>40.942599999999999</v>
      </c>
      <c r="O33" s="18">
        <f>Test!E31</f>
        <v>43.377800000000001</v>
      </c>
      <c r="P33" s="18">
        <f>Test!F31</f>
        <v>88679.642999999996</v>
      </c>
      <c r="Q33" s="18">
        <f>Test!G31</f>
        <v>21.1</v>
      </c>
      <c r="R33" s="18">
        <f t="shared" si="10"/>
        <v>24.633234166666664</v>
      </c>
      <c r="S33" s="17">
        <f t="shared" si="4"/>
        <v>17.304104668009817</v>
      </c>
      <c r="T33" s="18">
        <f t="shared" si="5"/>
        <v>1.2152977767538304</v>
      </c>
      <c r="U33" s="61">
        <f t="shared" si="6"/>
        <v>1.0449663120506705</v>
      </c>
      <c r="V33" s="25"/>
      <c r="W33" s="25"/>
      <c r="X33" s="25"/>
      <c r="Y33" s="36"/>
      <c r="Z33" s="25"/>
      <c r="AA33" s="48"/>
    </row>
    <row r="34" spans="1:27" ht="12.75" thickBot="1" x14ac:dyDescent="0.25">
      <c r="A34" s="16"/>
      <c r="B34" s="21"/>
      <c r="C34" s="21">
        <v>48</v>
      </c>
      <c r="D34" s="17">
        <f>Reference!B32</f>
        <v>778.53120000000001</v>
      </c>
      <c r="E34" s="18">
        <f>Reference!C32</f>
        <v>28.079899999999999</v>
      </c>
      <c r="F34" s="18">
        <f>Reference!D32</f>
        <v>39.784100000000002</v>
      </c>
      <c r="G34" s="18">
        <f>Reference!E32</f>
        <v>42.067700000000002</v>
      </c>
      <c r="H34" s="18">
        <f>Reference!F32</f>
        <v>4489.6189999999997</v>
      </c>
      <c r="I34" s="18">
        <f>Reference!G32</f>
        <v>15.496</v>
      </c>
      <c r="J34" s="24">
        <f t="shared" si="9"/>
        <v>1.2471163888888888</v>
      </c>
      <c r="K34" s="20"/>
      <c r="L34" s="17">
        <f>Test!B32</f>
        <v>766.27919999999995</v>
      </c>
      <c r="M34" s="18">
        <f>Test!C32</f>
        <v>29.101600000000001</v>
      </c>
      <c r="N34" s="18">
        <f>Test!D32</f>
        <v>39.017899999999997</v>
      </c>
      <c r="O34" s="18">
        <f>Test!E32</f>
        <v>41.212600000000002</v>
      </c>
      <c r="P34" s="18">
        <f>Test!F32</f>
        <v>49902.75</v>
      </c>
      <c r="Q34" s="18">
        <f>Test!G32</f>
        <v>18.207999999999998</v>
      </c>
      <c r="R34" s="23">
        <f t="shared" si="10"/>
        <v>13.861875</v>
      </c>
      <c r="S34" s="22">
        <f t="shared" si="4"/>
        <v>11.11514139618529</v>
      </c>
      <c r="T34" s="23">
        <f t="shared" si="5"/>
        <v>1.1750129065565307</v>
      </c>
      <c r="U34" s="62">
        <f t="shared" si="6"/>
        <v>0.98426267309518223</v>
      </c>
      <c r="V34" s="49"/>
      <c r="W34" s="49"/>
      <c r="X34" s="49"/>
      <c r="Y34" s="37"/>
      <c r="Z34" s="49"/>
      <c r="AA34" s="50"/>
    </row>
    <row r="35" spans="1:27" ht="14.25" x14ac:dyDescent="0.25">
      <c r="A35" s="16"/>
      <c r="B35" s="99" t="s">
        <v>86</v>
      </c>
      <c r="C35" s="11">
        <v>32</v>
      </c>
      <c r="D35" s="12">
        <f>Reference!B33</f>
        <v>3418.8416000000002</v>
      </c>
      <c r="E35" s="13">
        <f>Reference!C33</f>
        <v>34.521099999999997</v>
      </c>
      <c r="F35" s="13">
        <f>Reference!D33</f>
        <v>41.569400000000002</v>
      </c>
      <c r="G35" s="13">
        <f>Reference!E33</f>
        <v>42.052100000000003</v>
      </c>
      <c r="H35" s="13">
        <f>Reference!F33</f>
        <v>5547.64</v>
      </c>
      <c r="I35" s="13">
        <f>Reference!G33</f>
        <v>16.984000000000002</v>
      </c>
      <c r="J35" s="14">
        <f t="shared" si="9"/>
        <v>1.5410111111111111</v>
      </c>
      <c r="K35" s="20"/>
      <c r="L35" s="12">
        <f>Test!B33</f>
        <v>3590.4520000000002</v>
      </c>
      <c r="M35" s="13">
        <f>Test!C33</f>
        <v>34.923000000000002</v>
      </c>
      <c r="N35" s="13">
        <f>Test!D33</f>
        <v>41.661700000000003</v>
      </c>
      <c r="O35" s="13">
        <f>Test!E33</f>
        <v>42.095700000000001</v>
      </c>
      <c r="P35" s="13">
        <f>Test!F33</f>
        <v>165240.13</v>
      </c>
      <c r="Q35" s="13">
        <f>Test!G33</f>
        <v>17.946999999999999</v>
      </c>
      <c r="R35" s="13">
        <f t="shared" si="10"/>
        <v>45.900036111111113</v>
      </c>
      <c r="S35" s="12">
        <f t="shared" si="4"/>
        <v>29.785662011233605</v>
      </c>
      <c r="T35" s="13">
        <f t="shared" si="5"/>
        <v>1.056700423928403</v>
      </c>
      <c r="U35" s="60">
        <f t="shared" si="6"/>
        <v>1.0501954814168635</v>
      </c>
      <c r="V35" s="40">
        <f>bdrate($D35:$D38,E35:E38,$L35:$L38,M35:M38)</f>
        <v>-9.8168686083759837E-2</v>
      </c>
      <c r="W35" s="40">
        <f>bdrate($D35:$D38,F35:F38,$L35:$L38,N35:N38)</f>
        <v>7.4922417386669382E-2</v>
      </c>
      <c r="X35" s="40">
        <f>bdrate($D35:$D38,G35:G38,$L35:$L38,O35:O38)</f>
        <v>7.5559049077537743E-2</v>
      </c>
      <c r="Y35" s="38">
        <f>bdrateOld($D35:$D38,E35:E38,$L35:$L38,M35:M38)</f>
        <v>-9.7574459943713054E-2</v>
      </c>
      <c r="Z35" s="42">
        <f>bdrateOld($D35:$D38,F35:F38,$L35:$L38,N35:N38)</f>
        <v>8.4581293434908833E-2</v>
      </c>
      <c r="AA35" s="43">
        <f>bdrateOld($D35:$D38,G35:G38,$L35:$L38,O35:O38)</f>
        <v>8.3927391862874456E-2</v>
      </c>
    </row>
    <row r="36" spans="1:27" x14ac:dyDescent="0.2">
      <c r="A36" s="16"/>
      <c r="B36" s="16"/>
      <c r="C36" s="16">
        <v>38</v>
      </c>
      <c r="D36" s="17">
        <f>Reference!B34</f>
        <v>1699.4304</v>
      </c>
      <c r="E36" s="18">
        <f>Reference!C34</f>
        <v>31.012499999999999</v>
      </c>
      <c r="F36" s="18">
        <f>Reference!D34</f>
        <v>39.745600000000003</v>
      </c>
      <c r="G36" s="18">
        <f>Reference!E34</f>
        <v>40.355899999999998</v>
      </c>
      <c r="H36" s="18">
        <f>Reference!F34</f>
        <v>4285.5230000000001</v>
      </c>
      <c r="I36" s="18">
        <f>Reference!G34</f>
        <v>15.11</v>
      </c>
      <c r="J36" s="19">
        <f t="shared" si="9"/>
        <v>1.1904230555555555</v>
      </c>
      <c r="K36" s="20"/>
      <c r="L36" s="17">
        <f>Test!B34</f>
        <v>1843.0888</v>
      </c>
      <c r="M36" s="18">
        <f>Test!C34</f>
        <v>31.807500000000001</v>
      </c>
      <c r="N36" s="18">
        <f>Test!D34</f>
        <v>39.9602</v>
      </c>
      <c r="O36" s="18">
        <f>Test!E34</f>
        <v>40.566099999999999</v>
      </c>
      <c r="P36" s="18">
        <f>Test!F34</f>
        <v>87915.316000000006</v>
      </c>
      <c r="Q36" s="18">
        <f>Test!G34</f>
        <v>15.449</v>
      </c>
      <c r="R36" s="18">
        <f t="shared" si="10"/>
        <v>24.420921111111113</v>
      </c>
      <c r="S36" s="17">
        <f t="shared" si="4"/>
        <v>20.514489363375255</v>
      </c>
      <c r="T36" s="18">
        <f t="shared" si="5"/>
        <v>1.0224354731965586</v>
      </c>
      <c r="U36" s="61">
        <f t="shared" si="6"/>
        <v>1.0845332647927211</v>
      </c>
      <c r="V36" s="25"/>
      <c r="W36" s="25"/>
      <c r="X36" s="25"/>
      <c r="Y36" s="36"/>
      <c r="Z36" s="25"/>
      <c r="AA36" s="48"/>
    </row>
    <row r="37" spans="1:27" x14ac:dyDescent="0.2">
      <c r="A37" s="16"/>
      <c r="B37" s="16"/>
      <c r="C37" s="16">
        <v>43</v>
      </c>
      <c r="D37" s="17">
        <f>Reference!B35</f>
        <v>821.3528</v>
      </c>
      <c r="E37" s="18">
        <f>Reference!C35</f>
        <v>27.5427</v>
      </c>
      <c r="F37" s="18">
        <f>Reference!D35</f>
        <v>38.4542</v>
      </c>
      <c r="G37" s="18">
        <f>Reference!E35</f>
        <v>39.206600000000002</v>
      </c>
      <c r="H37" s="18">
        <f>Reference!F35</f>
        <v>3751.4450000000002</v>
      </c>
      <c r="I37" s="18">
        <f>Reference!G35</f>
        <v>13.872999999999999</v>
      </c>
      <c r="J37" s="19">
        <f t="shared" si="9"/>
        <v>1.0420680555555557</v>
      </c>
      <c r="K37" s="20"/>
      <c r="L37" s="17">
        <f>Test!B35</f>
        <v>861.21199999999999</v>
      </c>
      <c r="M37" s="18">
        <f>Test!C35</f>
        <v>28.313199999999998</v>
      </c>
      <c r="N37" s="18">
        <f>Test!D35</f>
        <v>38.269100000000002</v>
      </c>
      <c r="O37" s="18">
        <f>Test!E35</f>
        <v>39.023400000000002</v>
      </c>
      <c r="P37" s="18">
        <f>Test!F35</f>
        <v>50442.752999999997</v>
      </c>
      <c r="Q37" s="18">
        <f>Test!G35</f>
        <v>14.411</v>
      </c>
      <c r="R37" s="18">
        <f t="shared" si="10"/>
        <v>14.011875833333333</v>
      </c>
      <c r="S37" s="17">
        <f t="shared" si="4"/>
        <v>13.446219523410312</v>
      </c>
      <c r="T37" s="18">
        <f t="shared" si="5"/>
        <v>1.0387803647372595</v>
      </c>
      <c r="U37" s="61">
        <f t="shared" si="6"/>
        <v>1.0485287199361832</v>
      </c>
      <c r="V37" s="25"/>
      <c r="W37" s="25"/>
      <c r="X37" s="25"/>
      <c r="Y37" s="36"/>
      <c r="Z37" s="25"/>
      <c r="AA37" s="48"/>
    </row>
    <row r="38" spans="1:27" ht="12.75" thickBot="1" x14ac:dyDescent="0.25">
      <c r="A38" s="16"/>
      <c r="B38" s="21"/>
      <c r="C38" s="21">
        <v>48</v>
      </c>
      <c r="D38" s="17">
        <f>Reference!B36</f>
        <v>366.36160000000001</v>
      </c>
      <c r="E38" s="18">
        <f>Reference!C36</f>
        <v>24.2255</v>
      </c>
      <c r="F38" s="18">
        <f>Reference!D36</f>
        <v>37.562100000000001</v>
      </c>
      <c r="G38" s="18">
        <f>Reference!E36</f>
        <v>38.396599999999999</v>
      </c>
      <c r="H38" s="18">
        <f>Reference!F36</f>
        <v>3471.337</v>
      </c>
      <c r="I38" s="18">
        <f>Reference!G36</f>
        <v>12.786</v>
      </c>
      <c r="J38" s="24">
        <f t="shared" si="9"/>
        <v>0.96426027777777779</v>
      </c>
      <c r="K38" s="20"/>
      <c r="L38" s="17">
        <f>Test!B36</f>
        <v>375.55439999999999</v>
      </c>
      <c r="M38" s="18">
        <f>Test!C36</f>
        <v>24.931799999999999</v>
      </c>
      <c r="N38" s="18">
        <f>Test!D36</f>
        <v>36.704700000000003</v>
      </c>
      <c r="O38" s="18">
        <f>Test!E36</f>
        <v>37.671700000000001</v>
      </c>
      <c r="P38" s="18">
        <f>Test!F36</f>
        <v>30526.067999999999</v>
      </c>
      <c r="Q38" s="18">
        <f>Test!G36</f>
        <v>12.628</v>
      </c>
      <c r="R38" s="23">
        <f t="shared" si="10"/>
        <v>8.4794633333333334</v>
      </c>
      <c r="S38" s="22">
        <f t="shared" si="4"/>
        <v>8.7937494976719339</v>
      </c>
      <c r="T38" s="23">
        <f t="shared" si="5"/>
        <v>0.98764273424057569</v>
      </c>
      <c r="U38" s="62">
        <f t="shared" si="6"/>
        <v>1.0250921493955698</v>
      </c>
      <c r="V38" s="49"/>
      <c r="W38" s="49"/>
      <c r="X38" s="49"/>
      <c r="Y38" s="37"/>
      <c r="Z38" s="49"/>
      <c r="AA38" s="50"/>
    </row>
    <row r="39" spans="1:27" ht="14.25" x14ac:dyDescent="0.25">
      <c r="A39" s="16"/>
      <c r="B39" s="99" t="s">
        <v>87</v>
      </c>
      <c r="C39" s="11">
        <v>32</v>
      </c>
      <c r="D39" s="12">
        <f>Reference!B37</f>
        <v>7575.7543999999998</v>
      </c>
      <c r="E39" s="13">
        <f>Reference!C37</f>
        <v>35.411099999999998</v>
      </c>
      <c r="F39" s="13">
        <f>Reference!D37</f>
        <v>42.469099999999997</v>
      </c>
      <c r="G39" s="13">
        <f>Reference!E37</f>
        <v>44.154800000000002</v>
      </c>
      <c r="H39" s="13">
        <f>Reference!F37</f>
        <v>8507.4159999999993</v>
      </c>
      <c r="I39" s="13">
        <f>Reference!G37</f>
        <v>25.027999999999999</v>
      </c>
      <c r="J39" s="14">
        <f>H39/3600</f>
        <v>2.3631711111111109</v>
      </c>
      <c r="K39" s="20"/>
      <c r="L39" s="12">
        <f>Test!B37</f>
        <v>7942.5648000000001</v>
      </c>
      <c r="M39" s="13">
        <f>Test!C37</f>
        <v>35.839500000000001</v>
      </c>
      <c r="N39" s="13">
        <f>Test!D37</f>
        <v>42.553699999999999</v>
      </c>
      <c r="O39" s="13">
        <f>Test!E37</f>
        <v>43.9621</v>
      </c>
      <c r="P39" s="13">
        <f>Test!F37</f>
        <v>308483.68400000001</v>
      </c>
      <c r="Q39" s="13">
        <f>Test!G37</f>
        <v>32.039000000000001</v>
      </c>
      <c r="R39" s="14">
        <f>P39/3600</f>
        <v>85.689912222222219</v>
      </c>
      <c r="S39" s="12">
        <f t="shared" si="4"/>
        <v>36.260561843925352</v>
      </c>
      <c r="T39" s="13">
        <f t="shared" si="5"/>
        <v>1.280126258590379</v>
      </c>
      <c r="U39" s="60">
        <f t="shared" si="6"/>
        <v>1.0484189930972418</v>
      </c>
      <c r="V39" s="40">
        <f>bdrate($D39:$D42,E39:E42,$L39:$L42,M39:M42)</f>
        <v>-0.12171690985887307</v>
      </c>
      <c r="W39" s="40">
        <f>bdrate($D39:$D42,F39:F42,$L39:$L42,N39:N42)</f>
        <v>9.2577796396725587E-2</v>
      </c>
      <c r="X39" s="41">
        <f>bdrate($D39:$D42,G39:G42,$L39:$L42,O39:O42)</f>
        <v>0.25287764903722865</v>
      </c>
      <c r="Y39" s="35">
        <f>bdrateOld($D39:$D42,E39:E42,$L39:$L42,M39:M42)</f>
        <v>-0.12146889504936631</v>
      </c>
      <c r="Z39" s="40">
        <f>bdrateOld($D39:$D42,F39:F42,$L39:$L42,N39:N42)</f>
        <v>9.4303708363469907E-2</v>
      </c>
      <c r="AA39" s="41">
        <f>bdrateOld($D39:$D42,G39:G42,$L39:$L42,O39:O42)</f>
        <v>0.25282542760804039</v>
      </c>
    </row>
    <row r="40" spans="1:27" x14ac:dyDescent="0.2">
      <c r="A40" s="16"/>
      <c r="B40" s="16"/>
      <c r="C40" s="16">
        <v>38</v>
      </c>
      <c r="D40" s="17">
        <f>Reference!B38</f>
        <v>3305.3631999999998</v>
      </c>
      <c r="E40" s="18">
        <f>Reference!C38</f>
        <v>32.103900000000003</v>
      </c>
      <c r="F40" s="18">
        <f>Reference!D38</f>
        <v>40.481699999999996</v>
      </c>
      <c r="G40" s="18">
        <f>Reference!E38</f>
        <v>42.117400000000004</v>
      </c>
      <c r="H40" s="18">
        <f>Reference!F38</f>
        <v>6363.7950000000001</v>
      </c>
      <c r="I40" s="18">
        <f>Reference!G38</f>
        <v>20.14</v>
      </c>
      <c r="J40" s="19">
        <f t="shared" ref="J40:J42" si="11">H40/3600</f>
        <v>1.7677208333333334</v>
      </c>
      <c r="K40" s="20"/>
      <c r="L40" s="17">
        <f>Test!B38</f>
        <v>3710.5423999999998</v>
      </c>
      <c r="M40" s="18">
        <f>Test!C38</f>
        <v>32.869100000000003</v>
      </c>
      <c r="N40" s="18">
        <f>Test!D38</f>
        <v>40.730800000000002</v>
      </c>
      <c r="O40" s="18">
        <f>Test!E38</f>
        <v>42.130899999999997</v>
      </c>
      <c r="P40" s="18">
        <f>Test!F38</f>
        <v>173981.24400000001</v>
      </c>
      <c r="Q40" s="18">
        <f>Test!G38</f>
        <v>25.045999999999999</v>
      </c>
      <c r="R40" s="19">
        <f t="shared" ref="R40:R42" si="12">P40/3600</f>
        <v>48.328123333333338</v>
      </c>
      <c r="S40" s="17">
        <f t="shared" si="4"/>
        <v>27.339228243524502</v>
      </c>
      <c r="T40" s="18">
        <f t="shared" si="5"/>
        <v>1.2435948361469711</v>
      </c>
      <c r="U40" s="61">
        <f t="shared" si="6"/>
        <v>1.1225823534309332</v>
      </c>
      <c r="V40" s="25"/>
      <c r="W40" s="25"/>
      <c r="X40" s="48"/>
      <c r="Y40" s="36"/>
      <c r="Z40" s="25"/>
      <c r="AA40" s="48"/>
    </row>
    <row r="41" spans="1:27" x14ac:dyDescent="0.2">
      <c r="A41" s="16"/>
      <c r="B41" s="16"/>
      <c r="C41" s="16">
        <v>43</v>
      </c>
      <c r="D41" s="17">
        <f>Reference!B39</f>
        <v>1314.5056</v>
      </c>
      <c r="E41" s="18">
        <f>Reference!C39</f>
        <v>28.995100000000001</v>
      </c>
      <c r="F41" s="18">
        <f>Reference!D39</f>
        <v>38.954599999999999</v>
      </c>
      <c r="G41" s="18">
        <f>Reference!E39</f>
        <v>40.6693</v>
      </c>
      <c r="H41" s="18">
        <f>Reference!F39</f>
        <v>5089.076</v>
      </c>
      <c r="I41" s="18">
        <f>Reference!G39</f>
        <v>17.027000000000001</v>
      </c>
      <c r="J41" s="19">
        <f t="shared" si="11"/>
        <v>1.4136322222222222</v>
      </c>
      <c r="K41" s="20"/>
      <c r="L41" s="17">
        <f>Test!B39</f>
        <v>1403.9767999999999</v>
      </c>
      <c r="M41" s="18">
        <f>Test!C39</f>
        <v>29.693999999999999</v>
      </c>
      <c r="N41" s="18">
        <f>Test!D39</f>
        <v>38.816400000000002</v>
      </c>
      <c r="O41" s="18">
        <f>Test!E39</f>
        <v>40.213299999999997</v>
      </c>
      <c r="P41" s="18">
        <f>Test!F39</f>
        <v>90478.370999999999</v>
      </c>
      <c r="Q41" s="18">
        <f>Test!G39</f>
        <v>20.32</v>
      </c>
      <c r="R41" s="19">
        <f t="shared" si="12"/>
        <v>25.132880833333331</v>
      </c>
      <c r="S41" s="17">
        <f t="shared" si="4"/>
        <v>17.778938848623994</v>
      </c>
      <c r="T41" s="18">
        <f t="shared" si="5"/>
        <v>1.1933987196805074</v>
      </c>
      <c r="U41" s="61">
        <f t="shared" si="6"/>
        <v>1.0680645255524206</v>
      </c>
      <c r="V41" s="25"/>
      <c r="W41" s="25"/>
      <c r="X41" s="48"/>
      <c r="Y41" s="36"/>
      <c r="Z41" s="25"/>
      <c r="AA41" s="48"/>
    </row>
    <row r="42" spans="1:27" ht="12.75" thickBot="1" x14ac:dyDescent="0.25">
      <c r="A42" s="21"/>
      <c r="B42" s="21"/>
      <c r="C42" s="21">
        <v>48</v>
      </c>
      <c r="D42" s="22">
        <f>Reference!B40</f>
        <v>468.1</v>
      </c>
      <c r="E42" s="23">
        <f>Reference!C40</f>
        <v>26.0763</v>
      </c>
      <c r="F42" s="23">
        <f>Reference!D40</f>
        <v>37.6905</v>
      </c>
      <c r="G42" s="23">
        <f>Reference!E40</f>
        <v>39.461300000000001</v>
      </c>
      <c r="H42" s="23">
        <f>Reference!F40</f>
        <v>4208.8879999999999</v>
      </c>
      <c r="I42" s="23">
        <f>Reference!G40</f>
        <v>15.173999999999999</v>
      </c>
      <c r="J42" s="24">
        <f t="shared" si="11"/>
        <v>1.1691355555555556</v>
      </c>
      <c r="K42" s="97"/>
      <c r="L42" s="22">
        <f>Test!B40</f>
        <v>468.512</v>
      </c>
      <c r="M42" s="23">
        <f>Test!C40</f>
        <v>26.659600000000001</v>
      </c>
      <c r="N42" s="23">
        <f>Test!D40</f>
        <v>36.930599999999998</v>
      </c>
      <c r="O42" s="23">
        <f>Test!E40</f>
        <v>38.441499999999998</v>
      </c>
      <c r="P42" s="23">
        <f>Test!F40</f>
        <v>42949.095000000001</v>
      </c>
      <c r="Q42" s="23">
        <f>Test!G40</f>
        <v>16.25</v>
      </c>
      <c r="R42" s="24">
        <f t="shared" si="12"/>
        <v>11.930304166666668</v>
      </c>
      <c r="S42" s="22">
        <f t="shared" si="4"/>
        <v>10.204380586986398</v>
      </c>
      <c r="T42" s="23">
        <f t="shared" si="5"/>
        <v>1.0709107684196653</v>
      </c>
      <c r="U42" s="62">
        <f t="shared" si="6"/>
        <v>1.0008801538132877</v>
      </c>
      <c r="V42" s="49"/>
      <c r="W42" s="49"/>
      <c r="X42" s="50"/>
      <c r="Y42" s="37"/>
      <c r="Z42" s="49"/>
      <c r="AA42" s="50"/>
    </row>
    <row r="43" spans="1:27" x14ac:dyDescent="0.2">
      <c r="B43" s="1" t="s">
        <v>88</v>
      </c>
      <c r="I43" s="15">
        <f>GEOMEAN(I3:I26)</f>
        <v>70.307611675118096</v>
      </c>
      <c r="J43" s="15">
        <f>GEOMEAN(J3:J26)</f>
        <v>6.0204333703700819</v>
      </c>
      <c r="Q43" s="15">
        <f>GEOMEAN(Q3:Q26)</f>
        <v>88.4490627176841</v>
      </c>
      <c r="R43" s="15">
        <f>GEOMEAN(R3:R26)</f>
        <v>100.94533450877904</v>
      </c>
      <c r="S43" s="15">
        <f t="shared" ref="S43:T43" si="13">GEOMEAN(S3:S26)</f>
        <v>16.767120952718695</v>
      </c>
      <c r="T43" s="15">
        <f t="shared" si="13"/>
        <v>1.258029687118305</v>
      </c>
      <c r="V43" s="38">
        <f>AVERAGE(V3,V7,V11,V15,V19,V23)</f>
        <v>-0.1478454549388942</v>
      </c>
      <c r="W43" s="42">
        <f t="shared" ref="W43:AA43" si="14">AVERAGE(W3,W7,W11,W15,W19,W23)</f>
        <v>4.4906352268315852E-2</v>
      </c>
      <c r="X43" s="42">
        <f t="shared" si="14"/>
        <v>2.1969431629629704E-2</v>
      </c>
      <c r="Y43" s="38">
        <f>AVERAGE(Y3,Y7,Y11,Y15,Y19,Y23)</f>
        <v>-0.14930281034036988</v>
      </c>
      <c r="Z43" s="42">
        <f t="shared" si="14"/>
        <v>4.161188513673466E-2</v>
      </c>
      <c r="AA43" s="43">
        <f t="shared" si="14"/>
        <v>1.6438770013765518E-2</v>
      </c>
    </row>
    <row r="44" spans="1:27" ht="12.75" thickBot="1" x14ac:dyDescent="0.25">
      <c r="B44" s="1" t="s">
        <v>89</v>
      </c>
      <c r="I44" s="15">
        <f>GEOMEAN(I27:I42)</f>
        <v>17.916836564268703</v>
      </c>
      <c r="J44" s="15">
        <f>GEOMEAN(J27:J42)</f>
        <v>1.4971163961598848</v>
      </c>
      <c r="Q44" s="15">
        <f>GEOMEAN(Q27:Q42)</f>
        <v>20.732179105404885</v>
      </c>
      <c r="R44" s="15">
        <f>GEOMEAN(R27:R42)</f>
        <v>30.252921554365329</v>
      </c>
      <c r="S44" s="15"/>
      <c r="T44" s="15"/>
      <c r="V44" s="38">
        <f>AVERAGE(V27,V31,V35,V39)</f>
        <v>-0.11874462728050539</v>
      </c>
      <c r="W44" s="42">
        <f t="shared" ref="W44:AA44" si="15">AVERAGE(W27,W31,W35,W39)</f>
        <v>8.4065573605101307E-2</v>
      </c>
      <c r="X44" s="42">
        <f t="shared" si="15"/>
        <v>0.1288024736138195</v>
      </c>
      <c r="Y44" s="38">
        <f>AVERAGE(Y27,Y31,Y35,Y39)</f>
        <v>-0.11877677356023136</v>
      </c>
      <c r="Z44" s="42">
        <f t="shared" si="15"/>
        <v>8.8436486151136307E-2</v>
      </c>
      <c r="AA44" s="43">
        <f t="shared" si="15"/>
        <v>0.13093288792098767</v>
      </c>
    </row>
    <row r="45" spans="1:27" ht="12.75" thickBot="1" x14ac:dyDescent="0.25">
      <c r="A45" s="3"/>
      <c r="B45" s="4" t="s">
        <v>1</v>
      </c>
      <c r="C45" s="4"/>
      <c r="D45" s="4"/>
      <c r="E45" s="4"/>
      <c r="F45" s="4"/>
      <c r="G45" s="4"/>
      <c r="H45" s="4"/>
      <c r="I45" s="52">
        <f xml:space="preserve"> GEOMEAN(I3:I42)</f>
        <v>40.691709937577265</v>
      </c>
      <c r="J45" s="52">
        <f xml:space="preserve"> GEOMEAN(J3:J42)</f>
        <v>3.4504749534763017</v>
      </c>
      <c r="K45" s="4"/>
      <c r="L45" s="4"/>
      <c r="M45" s="4"/>
      <c r="N45" s="4"/>
      <c r="O45" s="4"/>
      <c r="P45" s="4"/>
      <c r="Q45" s="52">
        <f xml:space="preserve"> GEOMEAN(Q3:Q42)</f>
        <v>49.507833522280016</v>
      </c>
      <c r="R45" s="52">
        <f xml:space="preserve"> GEOMEAN(R3:R42)</f>
        <v>62.3388346523395</v>
      </c>
      <c r="S45" s="52">
        <f xml:space="preserve"> GEOMEAN(S3:S42)</f>
        <v>18.066740229351343</v>
      </c>
      <c r="T45" s="52">
        <f>GEOMEAN(T3:T42)</f>
        <v>1.2166565032097949</v>
      </c>
      <c r="U45" s="4"/>
      <c r="V45" s="39">
        <f>AVERAGE(V3:V42)</f>
        <v>-0.13620512387553868</v>
      </c>
      <c r="W45" s="44">
        <f t="shared" ref="W45:AA45" si="16">AVERAGE(W3:W42)</f>
        <v>6.0570040803030037E-2</v>
      </c>
      <c r="X45" s="45">
        <f t="shared" si="16"/>
        <v>6.4702648423305614E-2</v>
      </c>
      <c r="Y45" s="44">
        <f t="shared" si="16"/>
        <v>-0.13709239562831449</v>
      </c>
      <c r="Z45" s="44">
        <f t="shared" si="16"/>
        <v>6.0341725542495318E-2</v>
      </c>
      <c r="AA45" s="45">
        <f t="shared" si="16"/>
        <v>6.2236417176654381E-2</v>
      </c>
    </row>
    <row r="46" spans="1:27" x14ac:dyDescent="0.2">
      <c r="B46" s="1" t="s">
        <v>2</v>
      </c>
      <c r="I46" s="26">
        <f>GEOMEAN(I3:I42)</f>
        <v>40.691709937577265</v>
      </c>
      <c r="J46" s="26">
        <f>GEOMEAN(J3:J42)</f>
        <v>3.4504749534763017</v>
      </c>
      <c r="Q46" s="26">
        <f>GEOMEAN(Q3:Q42)</f>
        <v>49.507833522280016</v>
      </c>
      <c r="R46" s="26">
        <f>GEOMEAN(R3:R42)</f>
        <v>62.3388346523395</v>
      </c>
      <c r="S46" s="26"/>
      <c r="T46" s="26"/>
    </row>
    <row r="47" spans="1:27" x14ac:dyDescent="0.2">
      <c r="B47" s="1" t="s">
        <v>3</v>
      </c>
      <c r="Q47" s="27">
        <f>Q46/I46</f>
        <v>1.2166565032097949</v>
      </c>
      <c r="R47" s="27">
        <f>R46/J46</f>
        <v>18.066740229351343</v>
      </c>
      <c r="S47" s="27"/>
      <c r="T47" s="27"/>
    </row>
    <row r="48" spans="1:27" x14ac:dyDescent="0.2">
      <c r="B48" s="1" t="s">
        <v>4</v>
      </c>
      <c r="I48" s="26"/>
      <c r="J48" s="26"/>
      <c r="Q48" s="26"/>
      <c r="R48" s="26"/>
      <c r="S48" s="26"/>
      <c r="T48" s="26"/>
    </row>
  </sheetData>
  <mergeCells count="4">
    <mergeCell ref="D1:J1"/>
    <mergeCell ref="L1:R1"/>
    <mergeCell ref="V1:X1"/>
    <mergeCell ref="Y1:AA1"/>
  </mergeCells>
  <phoneticPr fontId="8" type="noConversion"/>
  <conditionalFormatting sqref="Y11 V27:X30">
    <cfRule type="cellIs" dxfId="191" priority="1219" operator="greaterThan">
      <formula>0.03</formula>
    </cfRule>
    <cfRule type="cellIs" dxfId="190" priority="1220" stopIfTrue="1" operator="lessThan">
      <formula>-0.03</formula>
    </cfRule>
  </conditionalFormatting>
  <conditionalFormatting sqref="V3:X14">
    <cfRule type="cellIs" dxfId="189" priority="1233" operator="greaterThan">
      <formula>0.03</formula>
    </cfRule>
    <cfRule type="cellIs" dxfId="188" priority="1234" stopIfTrue="1" operator="lessThan">
      <formula>-0.03</formula>
    </cfRule>
  </conditionalFormatting>
  <conditionalFormatting sqref="Y3">
    <cfRule type="cellIs" dxfId="187" priority="1231" operator="greaterThan">
      <formula>0.03</formula>
    </cfRule>
    <cfRule type="cellIs" dxfId="186" priority="1232" stopIfTrue="1" operator="lessThan">
      <formula>-0.03</formula>
    </cfRule>
  </conditionalFormatting>
  <conditionalFormatting sqref="Z3">
    <cfRule type="cellIs" dxfId="185" priority="1229" operator="greaterThan">
      <formula>0.03</formula>
    </cfRule>
    <cfRule type="cellIs" dxfId="184" priority="1230" stopIfTrue="1" operator="lessThan">
      <formula>-0.03</formula>
    </cfRule>
  </conditionalFormatting>
  <conditionalFormatting sqref="AA3">
    <cfRule type="cellIs" dxfId="183" priority="1227" operator="greaterThan">
      <formula>0.03</formula>
    </cfRule>
    <cfRule type="cellIs" dxfId="182" priority="1228" stopIfTrue="1" operator="lessThan">
      <formula>-0.03</formula>
    </cfRule>
  </conditionalFormatting>
  <conditionalFormatting sqref="Y7">
    <cfRule type="cellIs" dxfId="181" priority="1225" operator="greaterThan">
      <formula>0.03</formula>
    </cfRule>
    <cfRule type="cellIs" dxfId="180" priority="1226" stopIfTrue="1" operator="lessThan">
      <formula>-0.03</formula>
    </cfRule>
  </conditionalFormatting>
  <conditionalFormatting sqref="Z7">
    <cfRule type="cellIs" dxfId="179" priority="1223" operator="greaterThan">
      <formula>0.03</formula>
    </cfRule>
    <cfRule type="cellIs" dxfId="178" priority="1224" stopIfTrue="1" operator="lessThan">
      <formula>-0.03</formula>
    </cfRule>
  </conditionalFormatting>
  <conditionalFormatting sqref="AA7">
    <cfRule type="cellIs" dxfId="177" priority="1221" operator="greaterThan">
      <formula>0.03</formula>
    </cfRule>
    <cfRule type="cellIs" dxfId="176" priority="1222" stopIfTrue="1" operator="lessThan">
      <formula>-0.03</formula>
    </cfRule>
  </conditionalFormatting>
  <conditionalFormatting sqref="Z11">
    <cfRule type="cellIs" dxfId="175" priority="1217" operator="greaterThan">
      <formula>0.03</formula>
    </cfRule>
    <cfRule type="cellIs" dxfId="174" priority="1218" stopIfTrue="1" operator="lessThan">
      <formula>-0.03</formula>
    </cfRule>
  </conditionalFormatting>
  <conditionalFormatting sqref="AA11">
    <cfRule type="cellIs" dxfId="173" priority="1215" operator="greaterThan">
      <formula>0.03</formula>
    </cfRule>
    <cfRule type="cellIs" dxfId="172" priority="1216" stopIfTrue="1" operator="lessThan">
      <formula>-0.03</formula>
    </cfRule>
  </conditionalFormatting>
  <conditionalFormatting sqref="Y14:Z14">
    <cfRule type="cellIs" dxfId="171" priority="1143" operator="greaterThan">
      <formula>0.03</formula>
    </cfRule>
    <cfRule type="cellIs" dxfId="170" priority="1144" stopIfTrue="1" operator="lessThan">
      <formula>-0.03</formula>
    </cfRule>
  </conditionalFormatting>
  <conditionalFormatting sqref="Y6:Z6">
    <cfRule type="cellIs" dxfId="169" priority="1147" operator="greaterThan">
      <formula>0.03</formula>
    </cfRule>
    <cfRule type="cellIs" dxfId="168" priority="1148" stopIfTrue="1" operator="lessThan">
      <formula>-0.03</formula>
    </cfRule>
  </conditionalFormatting>
  <conditionalFormatting sqref="Y10:Z10">
    <cfRule type="cellIs" dxfId="167" priority="1145" operator="greaterThan">
      <formula>0.03</formula>
    </cfRule>
    <cfRule type="cellIs" dxfId="166" priority="1146" stopIfTrue="1" operator="lessThan">
      <formula>-0.03</formula>
    </cfRule>
  </conditionalFormatting>
  <conditionalFormatting sqref="V45:AA45">
    <cfRule type="cellIs" dxfId="165" priority="617" operator="greaterThan">
      <formula>0.03</formula>
    </cfRule>
    <cfRule type="cellIs" dxfId="164" priority="618" stopIfTrue="1" operator="lessThan">
      <formula>-0.03</formula>
    </cfRule>
  </conditionalFormatting>
  <conditionalFormatting sqref="Y23">
    <cfRule type="cellIs" dxfId="163" priority="489" operator="greaterThan">
      <formula>0.03</formula>
    </cfRule>
    <cfRule type="cellIs" dxfId="162" priority="490" stopIfTrue="1" operator="lessThan">
      <formula>-0.03</formula>
    </cfRule>
  </conditionalFormatting>
  <conditionalFormatting sqref="V15:X26">
    <cfRule type="cellIs" dxfId="161" priority="503" operator="greaterThan">
      <formula>0.03</formula>
    </cfRule>
    <cfRule type="cellIs" dxfId="160" priority="504" stopIfTrue="1" operator="lessThan">
      <formula>-0.03</formula>
    </cfRule>
  </conditionalFormatting>
  <conditionalFormatting sqref="Y15">
    <cfRule type="cellIs" dxfId="159" priority="501" operator="greaterThan">
      <formula>0.03</formula>
    </cfRule>
    <cfRule type="cellIs" dxfId="158" priority="502" stopIfTrue="1" operator="lessThan">
      <formula>-0.03</formula>
    </cfRule>
  </conditionalFormatting>
  <conditionalFormatting sqref="Z15">
    <cfRule type="cellIs" dxfId="157" priority="499" operator="greaterThan">
      <formula>0.03</formula>
    </cfRule>
    <cfRule type="cellIs" dxfId="156" priority="500" stopIfTrue="1" operator="lessThan">
      <formula>-0.03</formula>
    </cfRule>
  </conditionalFormatting>
  <conditionalFormatting sqref="AA15">
    <cfRule type="cellIs" dxfId="155" priority="497" operator="greaterThan">
      <formula>0.03</formula>
    </cfRule>
    <cfRule type="cellIs" dxfId="154" priority="498" stopIfTrue="1" operator="lessThan">
      <formula>-0.03</formula>
    </cfRule>
  </conditionalFormatting>
  <conditionalFormatting sqref="Y19">
    <cfRule type="cellIs" dxfId="153" priority="495" operator="greaterThan">
      <formula>0.03</formula>
    </cfRule>
    <cfRule type="cellIs" dxfId="152" priority="496" stopIfTrue="1" operator="lessThan">
      <formula>-0.03</formula>
    </cfRule>
  </conditionalFormatting>
  <conditionalFormatting sqref="Z19">
    <cfRule type="cellIs" dxfId="151" priority="493" operator="greaterThan">
      <formula>0.03</formula>
    </cfRule>
    <cfRule type="cellIs" dxfId="150" priority="494" stopIfTrue="1" operator="lessThan">
      <formula>-0.03</formula>
    </cfRule>
  </conditionalFormatting>
  <conditionalFormatting sqref="AA19">
    <cfRule type="cellIs" dxfId="149" priority="491" operator="greaterThan">
      <formula>0.03</formula>
    </cfRule>
    <cfRule type="cellIs" dxfId="148" priority="492" stopIfTrue="1" operator="lessThan">
      <formula>-0.03</formula>
    </cfRule>
  </conditionalFormatting>
  <conditionalFormatting sqref="Z23">
    <cfRule type="cellIs" dxfId="147" priority="487" operator="greaterThan">
      <formula>0.03</formula>
    </cfRule>
    <cfRule type="cellIs" dxfId="146" priority="488" stopIfTrue="1" operator="lessThan">
      <formula>-0.03</formula>
    </cfRule>
  </conditionalFormatting>
  <conditionalFormatting sqref="AA23">
    <cfRule type="cellIs" dxfId="145" priority="485" operator="greaterThan">
      <formula>0.03</formula>
    </cfRule>
    <cfRule type="cellIs" dxfId="144" priority="486" stopIfTrue="1" operator="lessThan">
      <formula>-0.03</formula>
    </cfRule>
  </conditionalFormatting>
  <conditionalFormatting sqref="Y26:Z26">
    <cfRule type="cellIs" dxfId="143" priority="473" operator="greaterThan">
      <formula>0.03</formula>
    </cfRule>
    <cfRule type="cellIs" dxfId="142" priority="474" stopIfTrue="1" operator="lessThan">
      <formula>-0.03</formula>
    </cfRule>
  </conditionalFormatting>
  <conditionalFormatting sqref="Y18:Z18">
    <cfRule type="cellIs" dxfId="141" priority="477" operator="greaterThan">
      <formula>0.03</formula>
    </cfRule>
    <cfRule type="cellIs" dxfId="140" priority="478" stopIfTrue="1" operator="lessThan">
      <formula>-0.03</formula>
    </cfRule>
  </conditionalFormatting>
  <conditionalFormatting sqref="Y22:Z22">
    <cfRule type="cellIs" dxfId="139" priority="475" operator="greaterThan">
      <formula>0.03</formula>
    </cfRule>
    <cfRule type="cellIs" dxfId="138" priority="476" stopIfTrue="1" operator="lessThan">
      <formula>-0.03</formula>
    </cfRule>
  </conditionalFormatting>
  <conditionalFormatting sqref="Y27">
    <cfRule type="cellIs" dxfId="137" priority="401" operator="greaterThan">
      <formula>0.03</formula>
    </cfRule>
    <cfRule type="cellIs" dxfId="136" priority="402" stopIfTrue="1" operator="lessThan">
      <formula>-0.03</formula>
    </cfRule>
  </conditionalFormatting>
  <conditionalFormatting sqref="Z27">
    <cfRule type="cellIs" dxfId="135" priority="399" operator="greaterThan">
      <formula>0.03</formula>
    </cfRule>
    <cfRule type="cellIs" dxfId="134" priority="400" stopIfTrue="1" operator="lessThan">
      <formula>-0.03</formula>
    </cfRule>
  </conditionalFormatting>
  <conditionalFormatting sqref="AA27">
    <cfRule type="cellIs" dxfId="133" priority="397" operator="greaterThan">
      <formula>0.03</formula>
    </cfRule>
    <cfRule type="cellIs" dxfId="132" priority="398" stopIfTrue="1" operator="lessThan">
      <formula>-0.03</formula>
    </cfRule>
  </conditionalFormatting>
  <conditionalFormatting sqref="Y30:Z30">
    <cfRule type="cellIs" dxfId="131" priority="393" operator="greaterThan">
      <formula>0.03</formula>
    </cfRule>
    <cfRule type="cellIs" dxfId="130" priority="394" stopIfTrue="1" operator="lessThan">
      <formula>-0.03</formula>
    </cfRule>
  </conditionalFormatting>
  <conditionalFormatting sqref="Y35">
    <cfRule type="cellIs" dxfId="129" priority="363" operator="greaterThan">
      <formula>0.03</formula>
    </cfRule>
    <cfRule type="cellIs" dxfId="128" priority="364" stopIfTrue="1" operator="lessThan">
      <formula>-0.03</formula>
    </cfRule>
  </conditionalFormatting>
  <conditionalFormatting sqref="V31:X38">
    <cfRule type="cellIs" dxfId="127" priority="371" operator="greaterThan">
      <formula>0.03</formula>
    </cfRule>
    <cfRule type="cellIs" dxfId="126" priority="372" stopIfTrue="1" operator="lessThan">
      <formula>-0.03</formula>
    </cfRule>
  </conditionalFormatting>
  <conditionalFormatting sqref="Y31">
    <cfRule type="cellIs" dxfId="125" priority="369" operator="greaterThan">
      <formula>0.03</formula>
    </cfRule>
    <cfRule type="cellIs" dxfId="124" priority="370" stopIfTrue="1" operator="lessThan">
      <formula>-0.03</formula>
    </cfRule>
  </conditionalFormatting>
  <conditionalFormatting sqref="Z31">
    <cfRule type="cellIs" dxfId="123" priority="367" operator="greaterThan">
      <formula>0.03</formula>
    </cfRule>
    <cfRule type="cellIs" dxfId="122" priority="368" stopIfTrue="1" operator="lessThan">
      <formula>-0.03</formula>
    </cfRule>
  </conditionalFormatting>
  <conditionalFormatting sqref="AA31">
    <cfRule type="cellIs" dxfId="121" priority="365" operator="greaterThan">
      <formula>0.03</formula>
    </cfRule>
    <cfRule type="cellIs" dxfId="120" priority="366" stopIfTrue="1" operator="lessThan">
      <formula>-0.03</formula>
    </cfRule>
  </conditionalFormatting>
  <conditionalFormatting sqref="Z35">
    <cfRule type="cellIs" dxfId="119" priority="361" operator="greaterThan">
      <formula>0.03</formula>
    </cfRule>
    <cfRule type="cellIs" dxfId="118" priority="362" stopIfTrue="1" operator="lessThan">
      <formula>-0.03</formula>
    </cfRule>
  </conditionalFormatting>
  <conditionalFormatting sqref="AA35">
    <cfRule type="cellIs" dxfId="117" priority="359" operator="greaterThan">
      <formula>0.03</formula>
    </cfRule>
    <cfRule type="cellIs" dxfId="116" priority="360" stopIfTrue="1" operator="lessThan">
      <formula>-0.03</formula>
    </cfRule>
  </conditionalFormatting>
  <conditionalFormatting sqref="Y38:Z38">
    <cfRule type="cellIs" dxfId="115" priority="355" operator="greaterThan">
      <formula>0.03</formula>
    </cfRule>
    <cfRule type="cellIs" dxfId="114" priority="356" stopIfTrue="1" operator="lessThan">
      <formula>-0.03</formula>
    </cfRule>
  </conditionalFormatting>
  <conditionalFormatting sqref="Y34:Z34">
    <cfRule type="cellIs" dxfId="113" priority="357" operator="greaterThan">
      <formula>0.03</formula>
    </cfRule>
    <cfRule type="cellIs" dxfId="112" priority="358" stopIfTrue="1" operator="lessThan">
      <formula>-0.03</formula>
    </cfRule>
  </conditionalFormatting>
  <conditionalFormatting sqref="V39:X42">
    <cfRule type="cellIs" dxfId="111" priority="333" operator="greaterThan">
      <formula>0.03</formula>
    </cfRule>
    <cfRule type="cellIs" dxfId="110" priority="334" stopIfTrue="1" operator="lessThan">
      <formula>-0.03</formula>
    </cfRule>
  </conditionalFormatting>
  <conditionalFormatting sqref="Y39">
    <cfRule type="cellIs" dxfId="109" priority="331" operator="greaterThan">
      <formula>0.03</formula>
    </cfRule>
    <cfRule type="cellIs" dxfId="108" priority="332" stopIfTrue="1" operator="lessThan">
      <formula>-0.03</formula>
    </cfRule>
  </conditionalFormatting>
  <conditionalFormatting sqref="Z39">
    <cfRule type="cellIs" dxfId="107" priority="329" operator="greaterThan">
      <formula>0.03</formula>
    </cfRule>
    <cfRule type="cellIs" dxfId="106" priority="330" stopIfTrue="1" operator="lessThan">
      <formula>-0.03</formula>
    </cfRule>
  </conditionalFormatting>
  <conditionalFormatting sqref="AA39">
    <cfRule type="cellIs" dxfId="105" priority="327" operator="greaterThan">
      <formula>0.03</formula>
    </cfRule>
    <cfRule type="cellIs" dxfId="104" priority="328" stopIfTrue="1" operator="lessThan">
      <formula>-0.03</formula>
    </cfRule>
  </conditionalFormatting>
  <conditionalFormatting sqref="Y42:Z42">
    <cfRule type="cellIs" dxfId="103" priority="307" operator="greaterThan">
      <formula>0.03</formula>
    </cfRule>
    <cfRule type="cellIs" dxfId="102" priority="308" stopIfTrue="1" operator="lessThan">
      <formula>-0.03</formula>
    </cfRule>
  </conditionalFormatting>
  <conditionalFormatting sqref="V43:X44">
    <cfRule type="cellIs" dxfId="101" priority="55" operator="greaterThan">
      <formula>0.03</formula>
    </cfRule>
    <cfRule type="cellIs" dxfId="100" priority="56" stopIfTrue="1" operator="lessThan">
      <formula>-0.03</formula>
    </cfRule>
  </conditionalFormatting>
  <conditionalFormatting sqref="Y43:AA43">
    <cfRule type="cellIs" dxfId="99" priority="3" operator="greaterThan">
      <formula>0.03</formula>
    </cfRule>
    <cfRule type="cellIs" dxfId="98" priority="4" stopIfTrue="1" operator="lessThan">
      <formula>-0.03</formula>
    </cfRule>
  </conditionalFormatting>
  <conditionalFormatting sqref="Y44:AA44">
    <cfRule type="cellIs" dxfId="97" priority="1" operator="greaterThan">
      <formula>0.03</formula>
    </cfRule>
    <cfRule type="cellIs" dxfId="96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48"/>
  <sheetViews>
    <sheetView zoomScaleNormal="100" workbookViewId="0">
      <selection activeCell="L42" sqref="L42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5.625" style="1" customWidth="1"/>
    <col min="22" max="27" width="8.875" style="1" customWidth="1"/>
    <col min="28" max="16384" width="10.875" style="1"/>
  </cols>
  <sheetData>
    <row r="1" spans="1:27" ht="12.75" thickBot="1" x14ac:dyDescent="0.25">
      <c r="D1" s="109" t="s">
        <v>5</v>
      </c>
      <c r="E1" s="110"/>
      <c r="F1" s="110"/>
      <c r="G1" s="110"/>
      <c r="H1" s="110"/>
      <c r="I1" s="110"/>
      <c r="J1" s="111"/>
      <c r="L1" s="109" t="s">
        <v>6</v>
      </c>
      <c r="M1" s="110"/>
      <c r="N1" s="110"/>
      <c r="O1" s="110"/>
      <c r="P1" s="110"/>
      <c r="Q1" s="110"/>
      <c r="R1" s="111"/>
      <c r="S1" s="34"/>
      <c r="T1" s="34"/>
      <c r="U1" s="2"/>
      <c r="V1" s="109" t="s">
        <v>17</v>
      </c>
      <c r="W1" s="110"/>
      <c r="X1" s="111"/>
      <c r="Y1" s="109" t="s">
        <v>18</v>
      </c>
      <c r="Z1" s="110"/>
      <c r="AA1" s="111"/>
    </row>
    <row r="2" spans="1:27" ht="12.75" thickBot="1" x14ac:dyDescent="0.25">
      <c r="A2" s="51"/>
      <c r="B2" s="47"/>
      <c r="C2" s="46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29</v>
      </c>
      <c r="T2" s="7" t="s">
        <v>30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ht="14.25" x14ac:dyDescent="0.25">
      <c r="A3" s="59"/>
      <c r="B3" s="100" t="s">
        <v>44</v>
      </c>
      <c r="C3" s="11">
        <v>32</v>
      </c>
      <c r="D3" s="12">
        <f>Reference!B41</f>
        <v>34404.534399999997</v>
      </c>
      <c r="E3" s="13">
        <f>Reference!C41</f>
        <v>34.660899999999998</v>
      </c>
      <c r="F3" s="13">
        <f>Reference!D41</f>
        <v>44.384</v>
      </c>
      <c r="G3" s="13">
        <f>Reference!E41</f>
        <v>43.094700000000003</v>
      </c>
      <c r="H3" s="13">
        <f>Reference!F41</f>
        <v>33659.377999999997</v>
      </c>
      <c r="I3" s="13">
        <f>Reference!G41</f>
        <v>99.081999999999994</v>
      </c>
      <c r="J3" s="14">
        <f>Reference!H41</f>
        <v>0</v>
      </c>
      <c r="L3" s="12">
        <f>Test!B41</f>
        <v>33696.095200000003</v>
      </c>
      <c r="M3" s="13">
        <f>Test!C41</f>
        <v>35.378700000000002</v>
      </c>
      <c r="N3" s="13">
        <f>Test!D41</f>
        <v>44.651699999999998</v>
      </c>
      <c r="O3" s="13">
        <f>Test!E41</f>
        <v>43.206000000000003</v>
      </c>
      <c r="P3" s="13">
        <f>Test!F41</f>
        <v>1312728.112</v>
      </c>
      <c r="Q3" s="13">
        <f>Test!G41</f>
        <v>127.879</v>
      </c>
      <c r="R3" s="13">
        <f>Test!H41</f>
        <v>0</v>
      </c>
      <c r="S3" s="12">
        <f>P3/H3</f>
        <v>39.000367505305654</v>
      </c>
      <c r="T3" s="13">
        <f>Q3/I3</f>
        <v>1.2906380573666258</v>
      </c>
      <c r="U3" s="60">
        <f>L3/D3</f>
        <v>0.97940855144954397</v>
      </c>
      <c r="V3" s="40">
        <f>bdrate($D3:$D6,E3:E6,$L3:$L6,M3:M6)</f>
        <v>-0.30255417657272166</v>
      </c>
      <c r="W3" s="40">
        <f>bdrate($D3:$D6,F3:F6,$L3:$L6,N3:N6)</f>
        <v>-8.5545188945043038E-2</v>
      </c>
      <c r="X3" s="41">
        <f>bdrate($D3:$D6,G3:G6,$L3:$L6,O3:O6)</f>
        <v>-8.5569008879288422E-2</v>
      </c>
      <c r="Y3" s="35">
        <f>bdrateOld($D3:$D6,E3:E6,$L3:$L6,M3:M6)</f>
        <v>-0.30267709745926363</v>
      </c>
      <c r="Z3" s="40">
        <f>bdrateOld($D3:$D6,F3:F6,$L3:$L6,N3:N6)</f>
        <v>-8.6905324248301996E-2</v>
      </c>
      <c r="AA3" s="41">
        <f>bdrateOld($D3:$D6,G3:G6,$L3:$L6,O3:O6)</f>
        <v>-8.6975462401660542E-2</v>
      </c>
    </row>
    <row r="4" spans="1:27" x14ac:dyDescent="0.2">
      <c r="A4" s="16"/>
      <c r="B4" s="57"/>
      <c r="C4" s="16">
        <v>38</v>
      </c>
      <c r="D4" s="17">
        <f>Reference!B42</f>
        <v>15195.292799999999</v>
      </c>
      <c r="E4" s="18">
        <f>Reference!C42</f>
        <v>31.1143</v>
      </c>
      <c r="F4" s="18">
        <f>Reference!D42</f>
        <v>42.382199999999997</v>
      </c>
      <c r="G4" s="18">
        <f>Reference!E42</f>
        <v>41.345500000000001</v>
      </c>
      <c r="H4" s="18">
        <f>Reference!F42</f>
        <v>24631.377</v>
      </c>
      <c r="I4" s="18">
        <f>Reference!G42</f>
        <v>78.043999999999997</v>
      </c>
      <c r="J4" s="19">
        <f>Reference!H42</f>
        <v>0</v>
      </c>
      <c r="L4" s="17">
        <f>Test!B42</f>
        <v>15371.4192</v>
      </c>
      <c r="M4" s="18">
        <f>Test!C42</f>
        <v>32.298999999999999</v>
      </c>
      <c r="N4" s="18">
        <f>Test!D42</f>
        <v>42.912300000000002</v>
      </c>
      <c r="O4" s="18">
        <f>Test!E42</f>
        <v>41.734699999999997</v>
      </c>
      <c r="P4" s="18">
        <f>Test!F42</f>
        <v>738019.46400000004</v>
      </c>
      <c r="Q4" s="18">
        <f>Test!G42</f>
        <v>99.855000000000004</v>
      </c>
      <c r="R4" s="18">
        <f>Test!H42</f>
        <v>0</v>
      </c>
      <c r="S4" s="17">
        <f t="shared" ref="S4:T19" si="0">P4/H4</f>
        <v>29.962574321362546</v>
      </c>
      <c r="T4" s="18">
        <f t="shared" si="0"/>
        <v>1.2794705550714982</v>
      </c>
      <c r="U4" s="61">
        <f t="shared" ref="U4:U42" si="1">L4/D4</f>
        <v>1.0115908526619508</v>
      </c>
      <c r="V4" s="25"/>
      <c r="W4" s="25"/>
      <c r="X4" s="48"/>
      <c r="Y4" s="36"/>
      <c r="Z4" s="25"/>
      <c r="AA4" s="48"/>
    </row>
    <row r="5" spans="1:27" x14ac:dyDescent="0.2">
      <c r="A5" s="16"/>
      <c r="B5" s="57"/>
      <c r="C5" s="16">
        <v>43</v>
      </c>
      <c r="D5" s="17">
        <f>Reference!B43</f>
        <v>5967.1855999999998</v>
      </c>
      <c r="E5" s="18">
        <f>Reference!C43</f>
        <v>27.8294</v>
      </c>
      <c r="F5" s="18">
        <f>Reference!D43</f>
        <v>41.033099999999997</v>
      </c>
      <c r="G5" s="18">
        <f>Reference!E43</f>
        <v>40.188499999999998</v>
      </c>
      <c r="H5" s="18">
        <f>Reference!F43</f>
        <v>19544.017</v>
      </c>
      <c r="I5" s="18">
        <f>Reference!G43</f>
        <v>65.061999999999998</v>
      </c>
      <c r="J5" s="19">
        <f>Reference!H43</f>
        <v>0</v>
      </c>
      <c r="L5" s="17">
        <f>Test!B43</f>
        <v>5524.8720000000003</v>
      </c>
      <c r="M5" s="18">
        <f>Test!C43</f>
        <v>28.957699999999999</v>
      </c>
      <c r="N5" s="18">
        <f>Test!D43</f>
        <v>40.808500000000002</v>
      </c>
      <c r="O5" s="18">
        <f>Test!E43</f>
        <v>40.073</v>
      </c>
      <c r="P5" s="18">
        <f>Test!F43</f>
        <v>393130.75199999998</v>
      </c>
      <c r="Q5" s="18">
        <f>Test!G43</f>
        <v>80.552999999999997</v>
      </c>
      <c r="R5" s="18">
        <f>Test!H43</f>
        <v>0</v>
      </c>
      <c r="S5" s="17">
        <f t="shared" si="0"/>
        <v>20.11514582698122</v>
      </c>
      <c r="T5" s="18">
        <f t="shared" si="0"/>
        <v>1.2380959699978482</v>
      </c>
      <c r="U5" s="61">
        <f t="shared" si="1"/>
        <v>0.9258756757959733</v>
      </c>
      <c r="V5" s="25"/>
      <c r="W5" s="25"/>
      <c r="X5" s="48"/>
      <c r="Y5" s="36"/>
      <c r="Z5" s="25"/>
      <c r="AA5" s="48"/>
    </row>
    <row r="6" spans="1:27" ht="12.75" thickBot="1" x14ac:dyDescent="0.25">
      <c r="A6" s="16"/>
      <c r="B6" s="58"/>
      <c r="C6" s="21">
        <v>48</v>
      </c>
      <c r="D6" s="22">
        <f>Reference!B44</f>
        <v>2155.6640000000002</v>
      </c>
      <c r="E6" s="23">
        <f>Reference!C44</f>
        <v>24.8202</v>
      </c>
      <c r="F6" s="23">
        <f>Reference!D44</f>
        <v>39.959200000000003</v>
      </c>
      <c r="G6" s="23">
        <f>Reference!E44</f>
        <v>39.276499999999999</v>
      </c>
      <c r="H6" s="23">
        <f>Reference!F44</f>
        <v>16305.045</v>
      </c>
      <c r="I6" s="23">
        <f>Reference!G44</f>
        <v>57.642000000000003</v>
      </c>
      <c r="J6" s="24">
        <f>Reference!H44</f>
        <v>0</v>
      </c>
      <c r="L6" s="22">
        <f>Test!B44</f>
        <v>1851.42</v>
      </c>
      <c r="M6" s="23">
        <f>Test!C44</f>
        <v>25.777100000000001</v>
      </c>
      <c r="N6" s="23">
        <f>Test!D44</f>
        <v>39.423699999999997</v>
      </c>
      <c r="O6" s="23">
        <f>Test!E44</f>
        <v>38.879399999999997</v>
      </c>
      <c r="P6" s="23">
        <f>Test!F44</f>
        <v>191870.008</v>
      </c>
      <c r="Q6" s="23">
        <f>Test!G44</f>
        <v>68.042000000000002</v>
      </c>
      <c r="R6" s="23">
        <f>Test!H44</f>
        <v>0</v>
      </c>
      <c r="S6" s="22">
        <f t="shared" si="0"/>
        <v>11.767523978008034</v>
      </c>
      <c r="T6" s="23">
        <f t="shared" si="0"/>
        <v>1.18042399639152</v>
      </c>
      <c r="U6" s="62">
        <f t="shared" si="1"/>
        <v>0.85886297679044599</v>
      </c>
      <c r="V6" s="49"/>
      <c r="W6" s="49"/>
      <c r="X6" s="50"/>
      <c r="Y6" s="37"/>
      <c r="Z6" s="49"/>
      <c r="AA6" s="50"/>
    </row>
    <row r="7" spans="1:27" ht="14.25" x14ac:dyDescent="0.25">
      <c r="A7" s="16"/>
      <c r="B7" s="101" t="s">
        <v>45</v>
      </c>
      <c r="C7" s="11">
        <v>32</v>
      </c>
      <c r="D7" s="12">
        <f>Reference!B45</f>
        <v>43267.975200000001</v>
      </c>
      <c r="E7" s="13">
        <f>Reference!C45</f>
        <v>34.371600000000001</v>
      </c>
      <c r="F7" s="13">
        <f>Reference!D45</f>
        <v>44.938000000000002</v>
      </c>
      <c r="G7" s="13">
        <f>Reference!E45</f>
        <v>47.009799999999998</v>
      </c>
      <c r="H7" s="13">
        <f>Reference!F45</f>
        <v>41907.387999999999</v>
      </c>
      <c r="I7" s="13">
        <f>Reference!G45</f>
        <v>116.84099999999999</v>
      </c>
      <c r="J7" s="14">
        <f>Reference!H45</f>
        <v>0</v>
      </c>
      <c r="L7" s="12">
        <f>Test!B45</f>
        <v>43998.225599999998</v>
      </c>
      <c r="M7" s="13">
        <f>Test!C45</f>
        <v>35.0837</v>
      </c>
      <c r="N7" s="13">
        <f>Test!D45</f>
        <v>45.127000000000002</v>
      </c>
      <c r="O7" s="13">
        <f>Test!E45</f>
        <v>47.302700000000002</v>
      </c>
      <c r="P7" s="13">
        <f>Test!F45</f>
        <v>1776369.568</v>
      </c>
      <c r="Q7" s="13">
        <f>Test!G45</f>
        <v>173.977</v>
      </c>
      <c r="R7" s="13">
        <f>Test!H45</f>
        <v>0</v>
      </c>
      <c r="S7" s="12">
        <f t="shared" si="0"/>
        <v>42.387981040479069</v>
      </c>
      <c r="T7" s="13">
        <f t="shared" si="0"/>
        <v>1.4890064275382786</v>
      </c>
      <c r="U7" s="60">
        <f t="shared" si="1"/>
        <v>1.0168773878746236</v>
      </c>
      <c r="V7" s="40">
        <f>bdrate($D7:$D10,E7:E10,$L7:$L10,M7:M10)</f>
        <v>-0.26855028931572178</v>
      </c>
      <c r="W7" s="40">
        <f>bdrate($D7:$D10,F7:F10,$L7:$L10,N7:N10)</f>
        <v>-3.2750582001878192E-2</v>
      </c>
      <c r="X7" s="40">
        <f>bdrate($D7:$D10,G7:G10,$L7:$L10,O7:O10)</f>
        <v>-0.17921175029437686</v>
      </c>
      <c r="Y7" s="38">
        <f>bdrateOld($D7:$D10,E7:E10,$L7:$L10,M7:M10)</f>
        <v>-0.26935464820151134</v>
      </c>
      <c r="Z7" s="42">
        <f>bdrateOld($D7:$D10,F7:F10,$L7:$L10,N7:N10)</f>
        <v>-3.543177504327899E-2</v>
      </c>
      <c r="AA7" s="43">
        <f>bdrateOld($D7:$D10,G7:G10,$L7:$L10,O7:O10)</f>
        <v>-0.18506732933117953</v>
      </c>
    </row>
    <row r="8" spans="1:27" x14ac:dyDescent="0.2">
      <c r="A8" s="16"/>
      <c r="B8" s="57"/>
      <c r="C8" s="16">
        <v>38</v>
      </c>
      <c r="D8" s="17">
        <f>Reference!B46</f>
        <v>16529.517599999999</v>
      </c>
      <c r="E8" s="18">
        <f>Reference!C46</f>
        <v>30.749099999999999</v>
      </c>
      <c r="F8" s="18">
        <f>Reference!D46</f>
        <v>43.465699999999998</v>
      </c>
      <c r="G8" s="18">
        <f>Reference!E46</f>
        <v>45.483499999999999</v>
      </c>
      <c r="H8" s="18">
        <f>Reference!F46</f>
        <v>29117.778999999999</v>
      </c>
      <c r="I8" s="18">
        <f>Reference!G46</f>
        <v>87.682000000000002</v>
      </c>
      <c r="J8" s="19">
        <f>Reference!H46</f>
        <v>0</v>
      </c>
      <c r="L8" s="17">
        <f>Test!B46</f>
        <v>17970.2</v>
      </c>
      <c r="M8" s="18">
        <f>Test!C46</f>
        <v>31.834199999999999</v>
      </c>
      <c r="N8" s="18">
        <f>Test!D46</f>
        <v>43.8078</v>
      </c>
      <c r="O8" s="18">
        <f>Test!E46</f>
        <v>46.0732</v>
      </c>
      <c r="P8" s="18">
        <f>Test!F46</f>
        <v>958180.12800000003</v>
      </c>
      <c r="Q8" s="18">
        <f>Test!G46</f>
        <v>130.529</v>
      </c>
      <c r="R8" s="18">
        <f>Test!H46</f>
        <v>0</v>
      </c>
      <c r="S8" s="17">
        <f t="shared" si="0"/>
        <v>32.907047203016411</v>
      </c>
      <c r="T8" s="18">
        <f t="shared" si="0"/>
        <v>1.4886635797541115</v>
      </c>
      <c r="U8" s="61">
        <f t="shared" si="1"/>
        <v>1.0871581636478007</v>
      </c>
      <c r="V8" s="25"/>
      <c r="W8" s="25"/>
      <c r="X8" s="25"/>
      <c r="Y8" s="36"/>
      <c r="Z8" s="25"/>
      <c r="AA8" s="48"/>
    </row>
    <row r="9" spans="1:27" x14ac:dyDescent="0.2">
      <c r="A9" s="16"/>
      <c r="B9" s="57"/>
      <c r="C9" s="16">
        <v>43</v>
      </c>
      <c r="D9" s="17">
        <f>Reference!B47</f>
        <v>5982.8495999999996</v>
      </c>
      <c r="E9" s="18">
        <f>Reference!C47</f>
        <v>27.559100000000001</v>
      </c>
      <c r="F9" s="18">
        <f>Reference!D47</f>
        <v>42.356699999999996</v>
      </c>
      <c r="G9" s="18">
        <f>Reference!E47</f>
        <v>44.373699999999999</v>
      </c>
      <c r="H9" s="18">
        <f>Reference!F47</f>
        <v>21895.767</v>
      </c>
      <c r="I9" s="18">
        <f>Reference!G47</f>
        <v>70.988</v>
      </c>
      <c r="J9" s="19">
        <f>Reference!H47</f>
        <v>0</v>
      </c>
      <c r="L9" s="17">
        <f>Test!B47</f>
        <v>5638.0191999999997</v>
      </c>
      <c r="M9" s="18">
        <f>Test!C47</f>
        <v>28.538699999999999</v>
      </c>
      <c r="N9" s="18">
        <f>Test!D47</f>
        <v>42.201599999999999</v>
      </c>
      <c r="O9" s="18">
        <f>Test!E47</f>
        <v>44.465800000000002</v>
      </c>
      <c r="P9" s="18">
        <f>Test!F47</f>
        <v>440125.592</v>
      </c>
      <c r="Q9" s="18">
        <f>Test!G47</f>
        <v>102.29600000000001</v>
      </c>
      <c r="R9" s="18">
        <f>Test!H47</f>
        <v>0</v>
      </c>
      <c r="S9" s="17">
        <f t="shared" si="0"/>
        <v>20.100944260139414</v>
      </c>
      <c r="T9" s="18">
        <f t="shared" si="0"/>
        <v>1.4410322871471235</v>
      </c>
      <c r="U9" s="61">
        <f t="shared" si="1"/>
        <v>0.94236351854808453</v>
      </c>
      <c r="V9" s="25"/>
      <c r="W9" s="25"/>
      <c r="X9" s="25"/>
      <c r="Y9" s="36"/>
      <c r="Z9" s="25"/>
      <c r="AA9" s="48"/>
    </row>
    <row r="10" spans="1:27" ht="12.75" thickBot="1" x14ac:dyDescent="0.25">
      <c r="A10" s="16"/>
      <c r="B10" s="58"/>
      <c r="C10" s="21">
        <v>48</v>
      </c>
      <c r="D10" s="22">
        <f>Reference!B48</f>
        <v>2144.7664</v>
      </c>
      <c r="E10" s="23">
        <f>Reference!C48</f>
        <v>24.581199999999999</v>
      </c>
      <c r="F10" s="23">
        <f>Reference!D48</f>
        <v>41.375599999999999</v>
      </c>
      <c r="G10" s="23">
        <f>Reference!E48</f>
        <v>43.154699999999998</v>
      </c>
      <c r="H10" s="23">
        <f>Reference!F48</f>
        <v>17923.616999999998</v>
      </c>
      <c r="I10" s="23">
        <f>Reference!G48</f>
        <v>61.066000000000003</v>
      </c>
      <c r="J10" s="24">
        <f>Reference!H48</f>
        <v>0</v>
      </c>
      <c r="L10" s="22">
        <f>Test!B48</f>
        <v>1856.5935999999999</v>
      </c>
      <c r="M10" s="23">
        <f>Test!C48</f>
        <v>25.449400000000001</v>
      </c>
      <c r="N10" s="23">
        <f>Test!D48</f>
        <v>40.684399999999997</v>
      </c>
      <c r="O10" s="23">
        <f>Test!E48</f>
        <v>42.770699999999998</v>
      </c>
      <c r="P10" s="23">
        <f>Test!F48</f>
        <v>210373.78</v>
      </c>
      <c r="Q10" s="23">
        <f>Test!G48</f>
        <v>81.918999999999997</v>
      </c>
      <c r="R10" s="23">
        <f>Test!H48</f>
        <v>0</v>
      </c>
      <c r="S10" s="22">
        <f t="shared" si="0"/>
        <v>11.737239196753647</v>
      </c>
      <c r="T10" s="23">
        <f t="shared" si="0"/>
        <v>1.3414829856221138</v>
      </c>
      <c r="U10" s="62">
        <f t="shared" si="1"/>
        <v>0.8656390737937707</v>
      </c>
      <c r="V10" s="49"/>
      <c r="W10" s="49"/>
      <c r="X10" s="49"/>
      <c r="Y10" s="37"/>
      <c r="Z10" s="49"/>
      <c r="AA10" s="50"/>
    </row>
    <row r="11" spans="1:27" ht="14.25" x14ac:dyDescent="0.25">
      <c r="A11" s="33"/>
      <c r="B11" s="101" t="s">
        <v>46</v>
      </c>
      <c r="C11" s="11">
        <v>32</v>
      </c>
      <c r="D11" s="12">
        <f>Reference!B49</f>
        <v>8049.0343999999996</v>
      </c>
      <c r="E11" s="13">
        <f>Reference!C49</f>
        <v>39.618099999999998</v>
      </c>
      <c r="F11" s="13">
        <f>Reference!D49</f>
        <v>47.692100000000003</v>
      </c>
      <c r="G11" s="13">
        <f>Reference!E49</f>
        <v>46.505499999999998</v>
      </c>
      <c r="H11" s="13">
        <f>Reference!F49</f>
        <v>22800.404999999999</v>
      </c>
      <c r="I11" s="13">
        <f>Reference!G49</f>
        <v>73.656999999999996</v>
      </c>
      <c r="J11" s="14">
        <f>Reference!H49</f>
        <v>0</v>
      </c>
      <c r="L11" s="12">
        <f>Test!B49</f>
        <v>7742.8104000000003</v>
      </c>
      <c r="M11" s="13">
        <f>Test!C49</f>
        <v>40.324100000000001</v>
      </c>
      <c r="N11" s="13">
        <f>Test!D49</f>
        <v>48.100299999999997</v>
      </c>
      <c r="O11" s="13">
        <f>Test!E49</f>
        <v>46.942700000000002</v>
      </c>
      <c r="P11" s="13">
        <f>Test!F49</f>
        <v>418571.03200000001</v>
      </c>
      <c r="Q11" s="13">
        <f>Test!G49</f>
        <v>90.557000000000002</v>
      </c>
      <c r="R11" s="13">
        <f>Test!H49</f>
        <v>0</v>
      </c>
      <c r="S11" s="12">
        <f t="shared" si="0"/>
        <v>18.358052499506041</v>
      </c>
      <c r="T11" s="13">
        <f t="shared" si="0"/>
        <v>1.2294418724629024</v>
      </c>
      <c r="U11" s="60">
        <f t="shared" si="1"/>
        <v>0.9619551880657885</v>
      </c>
      <c r="V11" s="40">
        <f>bdrate($D11:$D14,E11:E14,$L11:$L14,M11:M14)</f>
        <v>-0.35941359196052447</v>
      </c>
      <c r="W11" s="40">
        <f>bdrate($D11:$D14,F11:F14,$L11:$L14,N11:N14)</f>
        <v>-0.32114059012681373</v>
      </c>
      <c r="X11" s="40">
        <f>bdrate($D11:$D14,G11:G14,$L11:$L14,O11:O14)</f>
        <v>-0.33362803461097246</v>
      </c>
      <c r="Y11" s="38">
        <f>bdrateOld($D11:$D14,E11:E14,$L11:$L14,M11:M14)</f>
        <v>-0.35988001557089355</v>
      </c>
      <c r="Z11" s="42">
        <f>bdrateOld($D11:$D14,F11:F14,$L11:$L14,N11:N14)</f>
        <v>-0.32157832966248368</v>
      </c>
      <c r="AA11" s="43">
        <f>bdrateOld($D11:$D14,G11:G14,$L11:$L14,O11:O14)</f>
        <v>-0.33380014297722727</v>
      </c>
    </row>
    <row r="12" spans="1:27" x14ac:dyDescent="0.2">
      <c r="A12" s="33"/>
      <c r="B12" s="55"/>
      <c r="C12" s="16">
        <v>38</v>
      </c>
      <c r="D12" s="17">
        <f>Reference!B50</f>
        <v>3710.9928</v>
      </c>
      <c r="E12" s="18">
        <f>Reference!C50</f>
        <v>36.917200000000001</v>
      </c>
      <c r="F12" s="18">
        <f>Reference!D50</f>
        <v>45.964700000000001</v>
      </c>
      <c r="G12" s="18">
        <f>Reference!E50</f>
        <v>44.889899999999997</v>
      </c>
      <c r="H12" s="18">
        <f>Reference!F50</f>
        <v>19562.621999999999</v>
      </c>
      <c r="I12" s="18">
        <f>Reference!G50</f>
        <v>64.864999999999995</v>
      </c>
      <c r="J12" s="19">
        <f>Reference!H50</f>
        <v>0</v>
      </c>
      <c r="L12" s="17">
        <f>Test!B50</f>
        <v>3553.8319999999999</v>
      </c>
      <c r="M12" s="18">
        <f>Test!C50</f>
        <v>38.065300000000001</v>
      </c>
      <c r="N12" s="18">
        <f>Test!D50</f>
        <v>46.842799999999997</v>
      </c>
      <c r="O12" s="18">
        <f>Test!E50</f>
        <v>45.710999999999999</v>
      </c>
      <c r="P12" s="18">
        <f>Test!F50</f>
        <v>226597.264</v>
      </c>
      <c r="Q12" s="18">
        <f>Test!G50</f>
        <v>80.564999999999998</v>
      </c>
      <c r="R12" s="18">
        <f>Test!H50</f>
        <v>0</v>
      </c>
      <c r="S12" s="17">
        <f t="shared" si="0"/>
        <v>11.583174484483726</v>
      </c>
      <c r="T12" s="18">
        <f t="shared" si="0"/>
        <v>1.2420411624142451</v>
      </c>
      <c r="U12" s="61">
        <f t="shared" si="1"/>
        <v>0.9576499313067921</v>
      </c>
      <c r="V12" s="25"/>
      <c r="W12" s="25"/>
      <c r="X12" s="25"/>
      <c r="Y12" s="36"/>
      <c r="Z12" s="25"/>
      <c r="AA12" s="48"/>
    </row>
    <row r="13" spans="1:27" x14ac:dyDescent="0.2">
      <c r="A13" s="33"/>
      <c r="B13" s="55"/>
      <c r="C13" s="16">
        <v>43</v>
      </c>
      <c r="D13" s="17">
        <f>Reference!B51</f>
        <v>1837.8784000000001</v>
      </c>
      <c r="E13" s="18">
        <f>Reference!C51</f>
        <v>34.208100000000002</v>
      </c>
      <c r="F13" s="18">
        <f>Reference!D51</f>
        <v>44.660899999999998</v>
      </c>
      <c r="G13" s="18">
        <f>Reference!E51</f>
        <v>43.589199999999998</v>
      </c>
      <c r="H13" s="18">
        <f>Reference!F51</f>
        <v>17557.988000000001</v>
      </c>
      <c r="I13" s="18">
        <f>Reference!G51</f>
        <v>58.506</v>
      </c>
      <c r="J13" s="19">
        <f>Reference!H51</f>
        <v>0</v>
      </c>
      <c r="L13" s="17">
        <f>Test!B51</f>
        <v>1541.5512000000001</v>
      </c>
      <c r="M13" s="18">
        <f>Test!C51</f>
        <v>35.459499999999998</v>
      </c>
      <c r="N13" s="18">
        <f>Test!D51</f>
        <v>45.054400000000001</v>
      </c>
      <c r="O13" s="18">
        <f>Test!E51</f>
        <v>44.057000000000002</v>
      </c>
      <c r="P13" s="18">
        <f>Test!F51</f>
        <v>123324.38800000001</v>
      </c>
      <c r="Q13" s="18">
        <f>Test!G51</f>
        <v>73.593999999999994</v>
      </c>
      <c r="R13" s="18">
        <f>Test!H51</f>
        <v>0</v>
      </c>
      <c r="S13" s="17">
        <f t="shared" si="0"/>
        <v>7.0238337103317301</v>
      </c>
      <c r="T13" s="18">
        <f t="shared" si="0"/>
        <v>1.2578880798550576</v>
      </c>
      <c r="U13" s="61">
        <f t="shared" si="1"/>
        <v>0.83876669969025153</v>
      </c>
      <c r="V13" s="25"/>
      <c r="W13" s="25"/>
      <c r="X13" s="25"/>
      <c r="Y13" s="36"/>
      <c r="Z13" s="25"/>
      <c r="AA13" s="48"/>
    </row>
    <row r="14" spans="1:27" ht="12.75" thickBot="1" x14ac:dyDescent="0.25">
      <c r="A14" s="33"/>
      <c r="B14" s="56"/>
      <c r="C14" s="21">
        <v>48</v>
      </c>
      <c r="D14" s="22">
        <f>Reference!B52</f>
        <v>967.88080000000002</v>
      </c>
      <c r="E14" s="23">
        <f>Reference!C52</f>
        <v>31.400400000000001</v>
      </c>
      <c r="F14" s="23">
        <f>Reference!D52</f>
        <v>43.447299999999998</v>
      </c>
      <c r="G14" s="23">
        <f>Reference!E52</f>
        <v>42.3703</v>
      </c>
      <c r="H14" s="23">
        <f>Reference!F52</f>
        <v>16178.968000000001</v>
      </c>
      <c r="I14" s="23">
        <f>Reference!G52</f>
        <v>55.152999999999999</v>
      </c>
      <c r="J14" s="24">
        <f>Reference!H52</f>
        <v>0</v>
      </c>
      <c r="L14" s="22">
        <f>Test!B52</f>
        <v>750.24720000000002</v>
      </c>
      <c r="M14" s="23">
        <f>Test!C52</f>
        <v>32.791899999999998</v>
      </c>
      <c r="N14" s="23">
        <f>Test!D52</f>
        <v>43.359499999999997</v>
      </c>
      <c r="O14" s="23">
        <f>Test!E52</f>
        <v>42.378700000000002</v>
      </c>
      <c r="P14" s="23">
        <f>Test!F52</f>
        <v>68830.660999999993</v>
      </c>
      <c r="Q14" s="23">
        <f>Test!G52</f>
        <v>61.55</v>
      </c>
      <c r="R14" s="23">
        <f>Test!H52</f>
        <v>0</v>
      </c>
      <c r="S14" s="22">
        <f t="shared" si="0"/>
        <v>4.2543295097684837</v>
      </c>
      <c r="T14" s="23">
        <f t="shared" si="0"/>
        <v>1.1159864377277755</v>
      </c>
      <c r="U14" s="62">
        <f t="shared" si="1"/>
        <v>0.77514421197320993</v>
      </c>
      <c r="V14" s="49"/>
      <c r="W14" s="49"/>
      <c r="X14" s="49"/>
      <c r="Y14" s="37"/>
      <c r="Z14" s="49"/>
      <c r="AA14" s="50"/>
    </row>
    <row r="15" spans="1:27" ht="14.25" x14ac:dyDescent="0.25">
      <c r="A15" s="16"/>
      <c r="B15" s="98" t="s">
        <v>47</v>
      </c>
      <c r="C15" s="11">
        <v>32</v>
      </c>
      <c r="D15" s="12">
        <f>Reference!B53</f>
        <v>17805.6456</v>
      </c>
      <c r="E15" s="13">
        <f>Reference!C53</f>
        <v>36.594200000000001</v>
      </c>
      <c r="F15" s="13">
        <f>Reference!D53</f>
        <v>42.827199999999998</v>
      </c>
      <c r="G15" s="13">
        <f>Reference!E53</f>
        <v>42.444400000000002</v>
      </c>
      <c r="H15" s="13">
        <f>Reference!F53</f>
        <v>25444.393</v>
      </c>
      <c r="I15" s="13">
        <f>Reference!G53</f>
        <v>80.585999999999999</v>
      </c>
      <c r="J15" s="14">
        <f>Reference!H53</f>
        <v>0</v>
      </c>
      <c r="L15" s="12">
        <f>Test!B53</f>
        <v>16866.372800000001</v>
      </c>
      <c r="M15" s="13">
        <f>Test!C53</f>
        <v>37.325600000000001</v>
      </c>
      <c r="N15" s="13">
        <f>Test!D53</f>
        <v>43.206499999999998</v>
      </c>
      <c r="O15" s="13">
        <f>Test!E53</f>
        <v>42.8155</v>
      </c>
      <c r="P15" s="13">
        <f>Test!F53</f>
        <v>746549.49600000004</v>
      </c>
      <c r="Q15" s="13">
        <f>Test!G53</f>
        <v>99.638000000000005</v>
      </c>
      <c r="R15" s="13">
        <f>Test!H53</f>
        <v>0</v>
      </c>
      <c r="S15" s="12">
        <f t="shared" si="0"/>
        <v>29.340432526726026</v>
      </c>
      <c r="T15" s="13">
        <f t="shared" si="0"/>
        <v>1.2364182364182366</v>
      </c>
      <c r="U15" s="60">
        <f t="shared" si="1"/>
        <v>0.94724859625421287</v>
      </c>
      <c r="V15" s="40">
        <f>bdrate($D15:$D18,E15:E18,$L15:$L18,M15:M18)</f>
        <v>-0.43513110571425384</v>
      </c>
      <c r="W15" s="40">
        <f>bdrate($D15:$D18,F15:F18,$L15:$L18,N15:N18)</f>
        <v>-0.26985106676172232</v>
      </c>
      <c r="X15" s="41">
        <f>bdrate($D15:$D18,G15:G18,$L15:$L18,O15:O18)</f>
        <v>-0.28705141594643235</v>
      </c>
      <c r="Y15" s="35">
        <f>bdrateOld($D15:$D18,E15:E18,$L15:$L18,M15:M18)</f>
        <v>-0.43628771855015336</v>
      </c>
      <c r="Z15" s="40">
        <f>bdrateOld($D15:$D18,F15:F18,$L15:$L18,N15:N18)</f>
        <v>-0.26950886696009568</v>
      </c>
      <c r="AA15" s="41">
        <f>bdrateOld($D15:$D18,G15:G18,$L15:$L18,O15:O18)</f>
        <v>-0.28658853161511078</v>
      </c>
    </row>
    <row r="16" spans="1:27" x14ac:dyDescent="0.2">
      <c r="A16" s="16"/>
      <c r="B16" s="57"/>
      <c r="C16" s="16">
        <v>38</v>
      </c>
      <c r="D16" s="17">
        <f>Reference!B54</f>
        <v>7140.5576000000001</v>
      </c>
      <c r="E16" s="18">
        <f>Reference!C54</f>
        <v>33.334299999999999</v>
      </c>
      <c r="F16" s="18">
        <f>Reference!D54</f>
        <v>40.774999999999999</v>
      </c>
      <c r="G16" s="18">
        <f>Reference!E54</f>
        <v>40.471299999999999</v>
      </c>
      <c r="H16" s="18">
        <f>Reference!F54</f>
        <v>20065.737000000001</v>
      </c>
      <c r="I16" s="18">
        <f>Reference!G54</f>
        <v>66.778000000000006</v>
      </c>
      <c r="J16" s="19">
        <f>Reference!H54</f>
        <v>0</v>
      </c>
      <c r="L16" s="17">
        <f>Test!B54</f>
        <v>6651.3047999999999</v>
      </c>
      <c r="M16" s="18">
        <f>Test!C54</f>
        <v>34.594000000000001</v>
      </c>
      <c r="N16" s="18">
        <f>Test!D54</f>
        <v>41.430100000000003</v>
      </c>
      <c r="O16" s="18">
        <f>Test!E54</f>
        <v>41.132100000000001</v>
      </c>
      <c r="P16" s="18">
        <f>Test!F54</f>
        <v>390919.68800000002</v>
      </c>
      <c r="Q16" s="18">
        <f>Test!G54</f>
        <v>81.549000000000007</v>
      </c>
      <c r="R16" s="18">
        <f>Test!H54</f>
        <v>0</v>
      </c>
      <c r="S16" s="17">
        <f t="shared" si="0"/>
        <v>19.481950152142431</v>
      </c>
      <c r="T16" s="18">
        <f t="shared" si="0"/>
        <v>1.2211956033424181</v>
      </c>
      <c r="U16" s="61">
        <f t="shared" si="1"/>
        <v>0.93148254976614153</v>
      </c>
      <c r="V16" s="25"/>
      <c r="W16" s="25"/>
      <c r="X16" s="48"/>
      <c r="Y16" s="36"/>
      <c r="Z16" s="25"/>
      <c r="AA16" s="48"/>
    </row>
    <row r="17" spans="1:27" x14ac:dyDescent="0.2">
      <c r="A17" s="16"/>
      <c r="B17" s="57"/>
      <c r="C17" s="16">
        <v>43</v>
      </c>
      <c r="D17" s="17">
        <f>Reference!B55</f>
        <v>3165.5095999999999</v>
      </c>
      <c r="E17" s="18">
        <f>Reference!C55</f>
        <v>30.059000000000001</v>
      </c>
      <c r="F17" s="18">
        <f>Reference!D55</f>
        <v>39.2911</v>
      </c>
      <c r="G17" s="18">
        <f>Reference!E55</f>
        <v>38.985500000000002</v>
      </c>
      <c r="H17" s="18">
        <f>Reference!F55</f>
        <v>17043.374</v>
      </c>
      <c r="I17" s="18">
        <f>Reference!G55</f>
        <v>59.697000000000003</v>
      </c>
      <c r="J17" s="19">
        <f>Reference!H55</f>
        <v>0</v>
      </c>
      <c r="L17" s="17">
        <f>Test!B55</f>
        <v>2270.788</v>
      </c>
      <c r="M17" s="18">
        <f>Test!C55</f>
        <v>31.432500000000001</v>
      </c>
      <c r="N17" s="18">
        <f>Test!D55</f>
        <v>39.176299999999998</v>
      </c>
      <c r="O17" s="18">
        <f>Test!E55</f>
        <v>38.948799999999999</v>
      </c>
      <c r="P17" s="18">
        <f>Test!F55</f>
        <v>194628.46</v>
      </c>
      <c r="Q17" s="18">
        <f>Test!G55</f>
        <v>68.597999999999999</v>
      </c>
      <c r="R17" s="18">
        <f>Test!H55</f>
        <v>0</v>
      </c>
      <c r="S17" s="17">
        <f t="shared" si="0"/>
        <v>11.419596847431734</v>
      </c>
      <c r="T17" s="18">
        <f t="shared" si="0"/>
        <v>1.1491029699984923</v>
      </c>
      <c r="U17" s="61">
        <f t="shared" si="1"/>
        <v>0.71735306062568882</v>
      </c>
      <c r="V17" s="25"/>
      <c r="W17" s="25"/>
      <c r="X17" s="48"/>
      <c r="Y17" s="36"/>
      <c r="Z17" s="25"/>
      <c r="AA17" s="48"/>
    </row>
    <row r="18" spans="1:27" ht="12.75" thickBot="1" x14ac:dyDescent="0.25">
      <c r="A18" s="16"/>
      <c r="B18" s="58"/>
      <c r="C18" s="21">
        <v>48</v>
      </c>
      <c r="D18" s="22">
        <f>Reference!B56</f>
        <v>1505.8432</v>
      </c>
      <c r="E18" s="23">
        <f>Reference!C56</f>
        <v>26.700800000000001</v>
      </c>
      <c r="F18" s="23">
        <f>Reference!D56</f>
        <v>38.173499999999997</v>
      </c>
      <c r="G18" s="23">
        <f>Reference!E56</f>
        <v>37.839300000000001</v>
      </c>
      <c r="H18" s="23">
        <f>Reference!F56</f>
        <v>15400.659</v>
      </c>
      <c r="I18" s="23">
        <f>Reference!G56</f>
        <v>55.005000000000003</v>
      </c>
      <c r="J18" s="24">
        <f>Reference!H56</f>
        <v>0</v>
      </c>
      <c r="L18" s="22">
        <f>Test!B56</f>
        <v>935.02639999999997</v>
      </c>
      <c r="M18" s="23">
        <f>Test!C56</f>
        <v>28.136299999999999</v>
      </c>
      <c r="N18" s="23">
        <f>Test!D56</f>
        <v>37.636899999999997</v>
      </c>
      <c r="O18" s="23">
        <f>Test!E56</f>
        <v>37.381900000000002</v>
      </c>
      <c r="P18" s="23">
        <f>Test!F56</f>
        <v>108649.95</v>
      </c>
      <c r="Q18" s="23">
        <f>Test!G56</f>
        <v>58.942999999999998</v>
      </c>
      <c r="R18" s="23">
        <f>Test!H56</f>
        <v>0</v>
      </c>
      <c r="S18" s="22">
        <f t="shared" si="0"/>
        <v>7.0548896641370993</v>
      </c>
      <c r="T18" s="23">
        <f t="shared" si="0"/>
        <v>1.0715934915007725</v>
      </c>
      <c r="U18" s="62">
        <f t="shared" si="1"/>
        <v>0.62093211298493756</v>
      </c>
      <c r="V18" s="49"/>
      <c r="W18" s="49"/>
      <c r="X18" s="50"/>
      <c r="Y18" s="37"/>
      <c r="Z18" s="49"/>
      <c r="AA18" s="50"/>
    </row>
    <row r="19" spans="1:27" ht="14.25" x14ac:dyDescent="0.25">
      <c r="A19" s="78"/>
      <c r="B19" s="101" t="s">
        <v>83</v>
      </c>
      <c r="C19" s="11">
        <v>32</v>
      </c>
      <c r="D19" s="12">
        <f>Reference!B57</f>
        <v>15987.6576</v>
      </c>
      <c r="E19" s="13">
        <f>Reference!C57</f>
        <v>36.108499999999999</v>
      </c>
      <c r="F19" s="13">
        <f>Reference!D57</f>
        <v>44.691600000000001</v>
      </c>
      <c r="G19" s="13">
        <f>Reference!E57</f>
        <v>45.419699999999999</v>
      </c>
      <c r="H19" s="13">
        <f>Reference!F57</f>
        <v>30684.918000000001</v>
      </c>
      <c r="I19" s="13">
        <f>Reference!G57</f>
        <v>87.736000000000004</v>
      </c>
      <c r="J19" s="14">
        <f>Reference!H57</f>
        <v>0</v>
      </c>
      <c r="L19" s="12">
        <f>Test!B57</f>
        <v>17096.625599999999</v>
      </c>
      <c r="M19" s="13">
        <f>Test!C57</f>
        <v>36.796199999999999</v>
      </c>
      <c r="N19" s="13">
        <f>Test!D57</f>
        <v>45.021599999999999</v>
      </c>
      <c r="O19" s="13">
        <f>Test!E57</f>
        <v>45.6494</v>
      </c>
      <c r="P19" s="13">
        <f>Test!F57</f>
        <v>959232.28799999994</v>
      </c>
      <c r="Q19" s="13">
        <f>Test!G57</f>
        <v>127.58799999999999</v>
      </c>
      <c r="R19" s="13">
        <f>Test!H57</f>
        <v>0</v>
      </c>
      <c r="S19" s="12">
        <f t="shared" si="0"/>
        <v>31.260708860294166</v>
      </c>
      <c r="T19" s="13">
        <f t="shared" si="0"/>
        <v>1.4542263153095649</v>
      </c>
      <c r="U19" s="60">
        <f t="shared" si="1"/>
        <v>1.0693640073953046</v>
      </c>
      <c r="V19" s="40">
        <f>bdrate($D19:$D22,E19:E22,$L19:$L22,M19:M22)</f>
        <v>-0.27783049520153136</v>
      </c>
      <c r="W19" s="40">
        <f>bdrate($D19:$D22,F19:F22,$L19:$L22,N19:N22)</f>
        <v>-0.11330082814516917</v>
      </c>
      <c r="X19" s="40">
        <f>bdrate($D19:$D22,G19:G22,$L19:$L22,O19:O22)</f>
        <v>-0.17785070883654008</v>
      </c>
      <c r="Y19" s="38">
        <f>bdrateOld($D19:$D22,E19:E22,$L19:$L22,M19:M22)</f>
        <v>-0.27765495680736729</v>
      </c>
      <c r="Z19" s="42">
        <f>bdrateOld($D19:$D22,F19:F22,$L19:$L22,N19:N22)</f>
        <v>-0.11191881975482321</v>
      </c>
      <c r="AA19" s="43">
        <f>bdrateOld($D19:$D22,G19:G22,$L19:$L22,O19:O22)</f>
        <v>-0.18401321528627501</v>
      </c>
    </row>
    <row r="20" spans="1:27" x14ac:dyDescent="0.2">
      <c r="A20" s="16"/>
      <c r="B20" s="57"/>
      <c r="C20" s="16">
        <v>38</v>
      </c>
      <c r="D20" s="17">
        <f>Reference!B58</f>
        <v>5909.9704000000002</v>
      </c>
      <c r="E20" s="18">
        <f>Reference!C58</f>
        <v>33.332299999999996</v>
      </c>
      <c r="F20" s="18">
        <f>Reference!D58</f>
        <v>42.618499999999997</v>
      </c>
      <c r="G20" s="18">
        <f>Reference!E58</f>
        <v>43.811</v>
      </c>
      <c r="H20" s="18">
        <f>Reference!F58</f>
        <v>21660.174999999999</v>
      </c>
      <c r="I20" s="18">
        <f>Reference!G58</f>
        <v>68.313000000000002</v>
      </c>
      <c r="J20" s="19">
        <f>Reference!H58</f>
        <v>0</v>
      </c>
      <c r="L20" s="17">
        <f>Test!B58</f>
        <v>6342.3280000000004</v>
      </c>
      <c r="M20" s="18">
        <f>Test!C58</f>
        <v>34.240499999999997</v>
      </c>
      <c r="N20" s="18">
        <f>Test!D58</f>
        <v>43.299399999999999</v>
      </c>
      <c r="O20" s="18">
        <f>Test!E58</f>
        <v>44.3613</v>
      </c>
      <c r="P20" s="18">
        <f>Test!F58</f>
        <v>400285.86800000002</v>
      </c>
      <c r="Q20" s="18">
        <f>Test!G58</f>
        <v>88.799000000000007</v>
      </c>
      <c r="R20" s="18">
        <f>Test!H58</f>
        <v>0</v>
      </c>
      <c r="S20" s="17">
        <f t="shared" ref="S20:T42" si="2">P20/H20</f>
        <v>18.480269342237541</v>
      </c>
      <c r="T20" s="18">
        <f t="shared" si="2"/>
        <v>1.2998843558327113</v>
      </c>
      <c r="U20" s="61">
        <f t="shared" si="1"/>
        <v>1.0731573207202527</v>
      </c>
      <c r="V20" s="25"/>
      <c r="W20" s="25"/>
      <c r="X20" s="25"/>
      <c r="Y20" s="36"/>
      <c r="Z20" s="25"/>
      <c r="AA20" s="48"/>
    </row>
    <row r="21" spans="1:27" x14ac:dyDescent="0.2">
      <c r="A21" s="16"/>
      <c r="B21" s="57"/>
      <c r="C21" s="16">
        <v>43</v>
      </c>
      <c r="D21" s="17">
        <f>Reference!B59</f>
        <v>2427.7840000000001</v>
      </c>
      <c r="E21" s="18">
        <f>Reference!C59</f>
        <v>30.8064</v>
      </c>
      <c r="F21" s="18">
        <f>Reference!D59</f>
        <v>41.092100000000002</v>
      </c>
      <c r="G21" s="18">
        <f>Reference!E59</f>
        <v>42.7986</v>
      </c>
      <c r="H21" s="18">
        <f>Reference!F59</f>
        <v>17673.698</v>
      </c>
      <c r="I21" s="18">
        <f>Reference!G59</f>
        <v>59.619</v>
      </c>
      <c r="J21" s="19">
        <f>Reference!H59</f>
        <v>0</v>
      </c>
      <c r="L21" s="17">
        <f>Test!B59</f>
        <v>2288.2336</v>
      </c>
      <c r="M21" s="18">
        <f>Test!C59</f>
        <v>31.673400000000001</v>
      </c>
      <c r="N21" s="18">
        <f>Test!D59</f>
        <v>40.982500000000002</v>
      </c>
      <c r="O21" s="18">
        <f>Test!E59</f>
        <v>42.883899999999997</v>
      </c>
      <c r="P21" s="18">
        <f>Test!F59</f>
        <v>193884.698</v>
      </c>
      <c r="Q21" s="18">
        <f>Test!G59</f>
        <v>74.063999999999993</v>
      </c>
      <c r="R21" s="18">
        <f>Test!H59</f>
        <v>0</v>
      </c>
      <c r="S21" s="17">
        <f t="shared" si="2"/>
        <v>10.970239391891839</v>
      </c>
      <c r="T21" s="18">
        <f t="shared" si="2"/>
        <v>1.2422885321793387</v>
      </c>
      <c r="U21" s="61">
        <f t="shared" si="1"/>
        <v>0.94251943335980459</v>
      </c>
      <c r="V21" s="25"/>
      <c r="W21" s="25"/>
      <c r="X21" s="25"/>
      <c r="Y21" s="36"/>
      <c r="Z21" s="25"/>
      <c r="AA21" s="48"/>
    </row>
    <row r="22" spans="1:27" ht="12.75" thickBot="1" x14ac:dyDescent="0.25">
      <c r="A22" s="16"/>
      <c r="B22" s="57"/>
      <c r="C22" s="16">
        <v>48</v>
      </c>
      <c r="D22" s="17">
        <f>Reference!B60</f>
        <v>978.87199999999996</v>
      </c>
      <c r="E22" s="18">
        <f>Reference!C60</f>
        <v>28.2912</v>
      </c>
      <c r="F22" s="18">
        <f>Reference!D60</f>
        <v>39.856200000000001</v>
      </c>
      <c r="G22" s="18">
        <f>Reference!E60</f>
        <v>41.797400000000003</v>
      </c>
      <c r="H22" s="18">
        <f>Reference!F60</f>
        <v>15534.986000000001</v>
      </c>
      <c r="I22" s="18">
        <f>Reference!G60</f>
        <v>53.512999999999998</v>
      </c>
      <c r="J22" s="19">
        <f>Reference!H60</f>
        <v>0</v>
      </c>
      <c r="L22" s="17">
        <f>Test!B60</f>
        <v>821.96879999999999</v>
      </c>
      <c r="M22" s="18">
        <f>Test!C60</f>
        <v>29.0867</v>
      </c>
      <c r="N22" s="18">
        <f>Test!D60</f>
        <v>39.280900000000003</v>
      </c>
      <c r="O22" s="18">
        <f>Test!E60</f>
        <v>41.561399999999999</v>
      </c>
      <c r="P22" s="18">
        <f>Test!F60</f>
        <v>100839.90700000001</v>
      </c>
      <c r="Q22" s="18">
        <f>Test!G60</f>
        <v>59.850999999999999</v>
      </c>
      <c r="R22" s="18">
        <f>Test!H60</f>
        <v>0</v>
      </c>
      <c r="S22" s="22">
        <f t="shared" si="2"/>
        <v>6.4911488816275726</v>
      </c>
      <c r="T22" s="23">
        <f t="shared" si="2"/>
        <v>1.1184385102685328</v>
      </c>
      <c r="U22" s="62">
        <f t="shared" si="1"/>
        <v>0.83971019704312722</v>
      </c>
      <c r="V22" s="25"/>
      <c r="W22" s="25"/>
      <c r="X22" s="25"/>
      <c r="Y22" s="36"/>
      <c r="Z22" s="25"/>
      <c r="AA22" s="48"/>
    </row>
    <row r="23" spans="1:27" ht="14.25" x14ac:dyDescent="0.25">
      <c r="A23" s="33"/>
      <c r="B23" s="98" t="s">
        <v>85</v>
      </c>
      <c r="C23" s="11">
        <v>32</v>
      </c>
      <c r="D23" s="12">
        <f>Reference!B61</f>
        <v>53999.968000000001</v>
      </c>
      <c r="E23" s="13">
        <f>Reference!C61</f>
        <v>35.781599999999997</v>
      </c>
      <c r="F23" s="13">
        <f>Reference!D61</f>
        <v>44.176600000000001</v>
      </c>
      <c r="G23" s="13">
        <f>Reference!E61</f>
        <v>44.660400000000003</v>
      </c>
      <c r="H23" s="13">
        <f>Reference!F61</f>
        <v>37125.237000000001</v>
      </c>
      <c r="I23" s="13">
        <f>Reference!G61</f>
        <v>109.524</v>
      </c>
      <c r="J23" s="14">
        <f>Reference!H61</f>
        <v>0</v>
      </c>
      <c r="K23" s="47"/>
      <c r="L23" s="12">
        <f>Test!B61</f>
        <v>55146.403200000001</v>
      </c>
      <c r="M23" s="13">
        <f>Test!C61</f>
        <v>36.479199999999999</v>
      </c>
      <c r="N23" s="13">
        <f>Test!D61</f>
        <v>44.565899999999999</v>
      </c>
      <c r="O23" s="13">
        <f>Test!E61</f>
        <v>44.870199999999997</v>
      </c>
      <c r="P23" s="13">
        <f>Test!F61</f>
        <v>1576200.5519999999</v>
      </c>
      <c r="Q23" s="13">
        <f>Test!G61</f>
        <v>155.52199999999999</v>
      </c>
      <c r="R23" s="13">
        <f>Test!H61</f>
        <v>0</v>
      </c>
      <c r="S23" s="12">
        <f t="shared" si="2"/>
        <v>42.456309491034354</v>
      </c>
      <c r="T23" s="13">
        <f t="shared" si="2"/>
        <v>1.4199810087286804</v>
      </c>
      <c r="U23" s="60">
        <f t="shared" si="1"/>
        <v>1.0212302940623965</v>
      </c>
      <c r="V23" s="40">
        <f>bdrate($D23:$D26,E23:E26,$L23:$L26,M23:M26)</f>
        <v>-0.25541613126079388</v>
      </c>
      <c r="W23" s="40">
        <f>bdrate($D23:$D26,F23:F26,$L23:$L26,N23:N26)</f>
        <v>2.2735275523777299E-2</v>
      </c>
      <c r="X23" s="40">
        <f>bdrate($D23:$D26,G23:G26,$L23:$L26,O23:O26)</f>
        <v>4.1184976899995673E-2</v>
      </c>
      <c r="Y23" s="35">
        <f>bdrateOld($D23:$D26,E23:E26,$L23:$L26,M23:M26)</f>
        <v>-0.26265856347392091</v>
      </c>
      <c r="Z23" s="40">
        <f>bdrateOld($D23:$D26,F23:F26,$L23:$L26,N23:N26)</f>
        <v>2.0600722622272638E-3</v>
      </c>
      <c r="AA23" s="41">
        <f>bdrateOld($D23:$D26,G23:G26,$L23:$L26,O23:O26)</f>
        <v>2.0349825537641308E-2</v>
      </c>
    </row>
    <row r="24" spans="1:27" x14ac:dyDescent="0.2">
      <c r="A24" s="96"/>
      <c r="B24" s="16"/>
      <c r="C24" s="16">
        <v>38</v>
      </c>
      <c r="D24" s="17">
        <f>Reference!B62</f>
        <v>20602.883999999998</v>
      </c>
      <c r="E24" s="18">
        <f>Reference!C62</f>
        <v>32.078499999999998</v>
      </c>
      <c r="F24" s="18">
        <f>Reference!D62</f>
        <v>42.267899999999997</v>
      </c>
      <c r="G24" s="18">
        <f>Reference!E62</f>
        <v>43.119700000000002</v>
      </c>
      <c r="H24" s="18">
        <f>Reference!F62</f>
        <v>27300.898000000001</v>
      </c>
      <c r="I24" s="18">
        <f>Reference!G62</f>
        <v>83.262</v>
      </c>
      <c r="J24" s="19">
        <f>Reference!H62</f>
        <v>0</v>
      </c>
      <c r="K24" s="20"/>
      <c r="L24" s="17">
        <f>Test!B62</f>
        <v>24231.886399999999</v>
      </c>
      <c r="M24" s="18">
        <f>Test!C62</f>
        <v>33.241300000000003</v>
      </c>
      <c r="N24" s="18">
        <f>Test!D62</f>
        <v>42.845100000000002</v>
      </c>
      <c r="O24" s="18">
        <f>Test!E62</f>
        <v>43.509399999999999</v>
      </c>
      <c r="P24" s="18">
        <f>Test!F62</f>
        <v>956379.44</v>
      </c>
      <c r="Q24" s="18">
        <f>Test!G62</f>
        <v>118.303</v>
      </c>
      <c r="R24" s="18">
        <f>Test!H62</f>
        <v>0</v>
      </c>
      <c r="S24" s="17">
        <f t="shared" si="2"/>
        <v>35.031061615628907</v>
      </c>
      <c r="T24" s="18">
        <f t="shared" si="2"/>
        <v>1.420852249525594</v>
      </c>
      <c r="U24" s="61">
        <f t="shared" si="1"/>
        <v>1.1761405053777909</v>
      </c>
      <c r="V24" s="25"/>
      <c r="W24" s="25"/>
      <c r="X24" s="25"/>
      <c r="Y24" s="36"/>
      <c r="Z24" s="25"/>
      <c r="AA24" s="48"/>
    </row>
    <row r="25" spans="1:27" x14ac:dyDescent="0.2">
      <c r="A25" s="96"/>
      <c r="B25" s="33"/>
      <c r="C25" s="16">
        <v>43</v>
      </c>
      <c r="D25" s="17">
        <f>Reference!B63</f>
        <v>4832.5280000000002</v>
      </c>
      <c r="E25" s="18">
        <f>Reference!C63</f>
        <v>28.8476</v>
      </c>
      <c r="F25" s="18">
        <f>Reference!D63</f>
        <v>40.9878</v>
      </c>
      <c r="G25" s="18">
        <f>Reference!E63</f>
        <v>42.056199999999997</v>
      </c>
      <c r="H25" s="18">
        <f>Reference!F63</f>
        <v>19150.63</v>
      </c>
      <c r="I25" s="18">
        <f>Reference!G63</f>
        <v>64.093000000000004</v>
      </c>
      <c r="J25" s="19">
        <f>Reference!H63</f>
        <v>0</v>
      </c>
      <c r="K25" s="20"/>
      <c r="L25" s="17">
        <f>Test!B63</f>
        <v>5534.5680000000002</v>
      </c>
      <c r="M25" s="18">
        <f>Test!C63</f>
        <v>29.8887</v>
      </c>
      <c r="N25" s="18">
        <f>Test!D63</f>
        <v>40.785400000000003</v>
      </c>
      <c r="O25" s="18">
        <f>Test!E63</f>
        <v>41.938499999999998</v>
      </c>
      <c r="P25" s="18">
        <f>Test!F63</f>
        <v>403869.05599999998</v>
      </c>
      <c r="Q25" s="18">
        <f>Test!G63</f>
        <v>82.757999999999996</v>
      </c>
      <c r="R25" s="18">
        <f>Test!H63</f>
        <v>0</v>
      </c>
      <c r="S25" s="17">
        <f t="shared" si="2"/>
        <v>21.089074145341431</v>
      </c>
      <c r="T25" s="18">
        <f t="shared" si="2"/>
        <v>1.2912174496434867</v>
      </c>
      <c r="U25" s="61">
        <f t="shared" si="1"/>
        <v>1.1452738608032897</v>
      </c>
      <c r="V25" s="25"/>
      <c r="W25" s="25"/>
      <c r="X25" s="25"/>
      <c r="Y25" s="36"/>
      <c r="Z25" s="25"/>
      <c r="AA25" s="48"/>
    </row>
    <row r="26" spans="1:27" ht="12.75" thickBot="1" x14ac:dyDescent="0.25">
      <c r="A26" s="96"/>
      <c r="B26" s="33"/>
      <c r="C26" s="16">
        <v>48</v>
      </c>
      <c r="D26" s="17">
        <f>Reference!B64</f>
        <v>1322.904</v>
      </c>
      <c r="E26" s="18">
        <f>Reference!C64</f>
        <v>25.866499999999998</v>
      </c>
      <c r="F26" s="18">
        <f>Reference!D64</f>
        <v>40.0045</v>
      </c>
      <c r="G26" s="18">
        <f>Reference!E64</f>
        <v>41.196899999999999</v>
      </c>
      <c r="H26" s="18">
        <f>Reference!F64</f>
        <v>15169.424999999999</v>
      </c>
      <c r="I26" s="18">
        <f>Reference!G64</f>
        <v>54.279000000000003</v>
      </c>
      <c r="J26" s="19">
        <f>Reference!H64</f>
        <v>0</v>
      </c>
      <c r="K26" s="20"/>
      <c r="L26" s="17">
        <f>Test!B64</f>
        <v>1234.4664</v>
      </c>
      <c r="M26" s="18">
        <f>Test!C64</f>
        <v>26.837199999999999</v>
      </c>
      <c r="N26" s="18">
        <f>Test!D64</f>
        <v>39.377699999999997</v>
      </c>
      <c r="O26" s="18">
        <f>Test!E64</f>
        <v>40.702599999999997</v>
      </c>
      <c r="P26" s="18">
        <f>Test!F64</f>
        <v>135109.204</v>
      </c>
      <c r="Q26" s="18">
        <f>Test!G64</f>
        <v>64.447000000000003</v>
      </c>
      <c r="R26" s="18">
        <f>Test!H64</f>
        <v>0</v>
      </c>
      <c r="S26" s="22">
        <f t="shared" si="2"/>
        <v>8.9066793237054149</v>
      </c>
      <c r="T26" s="23">
        <f t="shared" si="2"/>
        <v>1.1873284327272058</v>
      </c>
      <c r="U26" s="62">
        <f t="shared" si="1"/>
        <v>0.93314889062244877</v>
      </c>
      <c r="V26" s="25"/>
      <c r="W26" s="25"/>
      <c r="X26" s="25"/>
      <c r="Y26" s="36"/>
      <c r="Z26" s="25"/>
      <c r="AA26" s="48"/>
    </row>
    <row r="27" spans="1:27" ht="14.25" x14ac:dyDescent="0.25">
      <c r="A27" s="59"/>
      <c r="B27" s="98" t="s">
        <v>50</v>
      </c>
      <c r="C27" s="11">
        <v>32</v>
      </c>
      <c r="D27" s="12">
        <f>Reference!B65</f>
        <v>10241.456</v>
      </c>
      <c r="E27" s="13">
        <f>Reference!C65</f>
        <v>34.2029</v>
      </c>
      <c r="F27" s="13">
        <f>Reference!D65</f>
        <v>41.291600000000003</v>
      </c>
      <c r="G27" s="13">
        <f>Reference!E65</f>
        <v>42.590499999999999</v>
      </c>
      <c r="H27" s="13">
        <f>Reference!F65</f>
        <v>8990.8809999999994</v>
      </c>
      <c r="I27" s="13">
        <f>Reference!G65</f>
        <v>26.114999999999998</v>
      </c>
      <c r="J27" s="14">
        <f>Reference!H65</f>
        <v>0</v>
      </c>
      <c r="K27" s="47"/>
      <c r="L27" s="12">
        <f>Test!B65</f>
        <v>10061.379199999999</v>
      </c>
      <c r="M27" s="13">
        <f>Test!C65</f>
        <v>34.862400000000001</v>
      </c>
      <c r="N27" s="13">
        <f>Test!D65</f>
        <v>41.483499999999999</v>
      </c>
      <c r="O27" s="13">
        <f>Test!E65</f>
        <v>42.671199999999999</v>
      </c>
      <c r="P27" s="13">
        <f>Test!F65</f>
        <v>356741.52</v>
      </c>
      <c r="Q27" s="13">
        <f>Test!G65</f>
        <v>35.433999999999997</v>
      </c>
      <c r="R27" s="13">
        <f>Test!H65</f>
        <v>0</v>
      </c>
      <c r="S27" s="12">
        <f t="shared" si="2"/>
        <v>39.678149449425483</v>
      </c>
      <c r="T27" s="13">
        <f t="shared" si="2"/>
        <v>1.3568447252536857</v>
      </c>
      <c r="U27" s="60">
        <f t="shared" si="1"/>
        <v>0.98241687510057152</v>
      </c>
      <c r="V27" s="40">
        <f>bdrate($D27:$D30,E27:E30,$L27:$L30,M27:M30)</f>
        <v>-0.26439624870081557</v>
      </c>
      <c r="W27" s="40">
        <f>bdrate($D27:$D30,F27:F30,$L27:$L30,N27:N30)</f>
        <v>-1.0313975846287016E-2</v>
      </c>
      <c r="X27" s="40">
        <f>bdrate($D27:$D30,G27:G30,$L27:$L30,O27:O30)</f>
        <v>7.8458962564631474E-3</v>
      </c>
      <c r="Y27" s="35">
        <f>bdrateOld($D27:$D30,E27:E30,$L27:$L30,M27:M30)</f>
        <v>-0.26484397717044372</v>
      </c>
      <c r="Z27" s="40">
        <f>bdrateOld($D27:$D30,F27:F30,$L27:$L30,N27:N30)</f>
        <v>-1.037405443013073E-2</v>
      </c>
      <c r="AA27" s="41">
        <f>bdrateOld($D27:$D30,G27:G30,$L27:$L30,O27:O30)</f>
        <v>6.1631834035045241E-3</v>
      </c>
    </row>
    <row r="28" spans="1:27" x14ac:dyDescent="0.2">
      <c r="A28" s="16"/>
      <c r="B28" s="16"/>
      <c r="C28" s="16">
        <v>38</v>
      </c>
      <c r="D28" s="17">
        <f>Reference!B66</f>
        <v>4770.7191999999995</v>
      </c>
      <c r="E28" s="18">
        <f>Reference!C66</f>
        <v>30.652699999999999</v>
      </c>
      <c r="F28" s="18">
        <f>Reference!D66</f>
        <v>39.405000000000001</v>
      </c>
      <c r="G28" s="18">
        <f>Reference!E66</f>
        <v>41.007300000000001</v>
      </c>
      <c r="H28" s="18">
        <f>Reference!F66</f>
        <v>6740.9080000000004</v>
      </c>
      <c r="I28" s="18">
        <f>Reference!G66</f>
        <v>21.126000000000001</v>
      </c>
      <c r="J28" s="19">
        <f>Reference!H66</f>
        <v>0</v>
      </c>
      <c r="K28" s="20"/>
      <c r="L28" s="17">
        <f>Test!B66</f>
        <v>4910.3032000000003</v>
      </c>
      <c r="M28" s="18">
        <f>Test!C66</f>
        <v>31.7835</v>
      </c>
      <c r="N28" s="18">
        <f>Test!D66</f>
        <v>39.746299999999998</v>
      </c>
      <c r="O28" s="18">
        <f>Test!E66</f>
        <v>41.243299999999998</v>
      </c>
      <c r="P28" s="18">
        <f>Test!F66</f>
        <v>220784.984</v>
      </c>
      <c r="Q28" s="18">
        <f>Test!G66</f>
        <v>27.352</v>
      </c>
      <c r="R28" s="18">
        <f>Test!H66</f>
        <v>0</v>
      </c>
      <c r="S28" s="17">
        <f t="shared" si="2"/>
        <v>32.753003601295255</v>
      </c>
      <c r="T28" s="18">
        <f t="shared" si="2"/>
        <v>1.2947079428192747</v>
      </c>
      <c r="U28" s="61">
        <f t="shared" si="1"/>
        <v>1.0292584816142607</v>
      </c>
      <c r="V28" s="25"/>
      <c r="W28" s="25"/>
      <c r="X28" s="25"/>
      <c r="Y28" s="36"/>
      <c r="Z28" s="25"/>
      <c r="AA28" s="48"/>
    </row>
    <row r="29" spans="1:27" x14ac:dyDescent="0.2">
      <c r="A29" s="16"/>
      <c r="B29" s="16"/>
      <c r="C29" s="16">
        <v>43</v>
      </c>
      <c r="D29" s="17">
        <f>Reference!B67</f>
        <v>1913.3088</v>
      </c>
      <c r="E29" s="18">
        <f>Reference!C67</f>
        <v>27.386700000000001</v>
      </c>
      <c r="F29" s="18">
        <f>Reference!D67</f>
        <v>38.068600000000004</v>
      </c>
      <c r="G29" s="18">
        <f>Reference!E67</f>
        <v>39.820399999999999</v>
      </c>
      <c r="H29" s="18">
        <f>Reference!F67</f>
        <v>5295.7280000000001</v>
      </c>
      <c r="I29" s="18">
        <f>Reference!G67</f>
        <v>17.884</v>
      </c>
      <c r="J29" s="19">
        <f>Reference!H67</f>
        <v>0</v>
      </c>
      <c r="K29" s="20"/>
      <c r="L29" s="17">
        <f>Test!B67</f>
        <v>1839.0239999999999</v>
      </c>
      <c r="M29" s="18">
        <f>Test!C67</f>
        <v>28.439399999999999</v>
      </c>
      <c r="N29" s="18">
        <f>Test!D67</f>
        <v>37.817999999999998</v>
      </c>
      <c r="O29" s="18">
        <f>Test!E67</f>
        <v>39.617199999999997</v>
      </c>
      <c r="P29" s="18">
        <f>Test!F67</f>
        <v>123808.06</v>
      </c>
      <c r="Q29" s="18">
        <f>Test!G67</f>
        <v>21.123000000000001</v>
      </c>
      <c r="R29" s="18">
        <f>Test!H67</f>
        <v>0</v>
      </c>
      <c r="S29" s="17">
        <f t="shared" si="2"/>
        <v>23.37885556055749</v>
      </c>
      <c r="T29" s="18">
        <f t="shared" si="2"/>
        <v>1.1811116081413555</v>
      </c>
      <c r="U29" s="61">
        <f t="shared" si="1"/>
        <v>0.96117469380792053</v>
      </c>
      <c r="V29" s="25"/>
      <c r="W29" s="25"/>
      <c r="X29" s="25"/>
      <c r="Y29" s="36"/>
      <c r="Z29" s="25"/>
      <c r="AA29" s="48"/>
    </row>
    <row r="30" spans="1:27" ht="12.75" thickBot="1" x14ac:dyDescent="0.25">
      <c r="A30" s="16"/>
      <c r="B30" s="21"/>
      <c r="C30" s="21">
        <v>48</v>
      </c>
      <c r="D30" s="17">
        <f>Reference!B68</f>
        <v>715.08399999999995</v>
      </c>
      <c r="E30" s="18">
        <f>Reference!C68</f>
        <v>24.3949</v>
      </c>
      <c r="F30" s="18">
        <f>Reference!D68</f>
        <v>37.061599999999999</v>
      </c>
      <c r="G30" s="18">
        <f>Reference!E68</f>
        <v>38.847999999999999</v>
      </c>
      <c r="H30" s="18">
        <f>Reference!F68</f>
        <v>4323.75</v>
      </c>
      <c r="I30" s="18">
        <f>Reference!G68</f>
        <v>15.337999999999999</v>
      </c>
      <c r="J30" s="24">
        <f>Reference!H68</f>
        <v>0</v>
      </c>
      <c r="K30" s="20"/>
      <c r="L30" s="17">
        <f>Test!B68</f>
        <v>635.65920000000006</v>
      </c>
      <c r="M30" s="18">
        <f>Test!C68</f>
        <v>25.3643</v>
      </c>
      <c r="N30" s="18">
        <f>Test!D68</f>
        <v>36.463900000000002</v>
      </c>
      <c r="O30" s="18">
        <f>Test!E68</f>
        <v>38.332299999999996</v>
      </c>
      <c r="P30" s="18">
        <f>Test!F68</f>
        <v>60052.701000000001</v>
      </c>
      <c r="Q30" s="18">
        <f>Test!G68</f>
        <v>17.341999999999999</v>
      </c>
      <c r="R30" s="23">
        <f>Test!H68</f>
        <v>0</v>
      </c>
      <c r="S30" s="22">
        <f t="shared" si="2"/>
        <v>13.889031743278405</v>
      </c>
      <c r="T30" s="23">
        <f t="shared" si="2"/>
        <v>1.1306558873386361</v>
      </c>
      <c r="U30" s="62">
        <f t="shared" si="1"/>
        <v>0.88892941248860291</v>
      </c>
      <c r="V30" s="49"/>
      <c r="W30" s="49"/>
      <c r="X30" s="49"/>
      <c r="Y30" s="37"/>
      <c r="Z30" s="49"/>
      <c r="AA30" s="50"/>
    </row>
    <row r="31" spans="1:27" ht="14.25" x14ac:dyDescent="0.25">
      <c r="A31" s="16"/>
      <c r="B31" s="99" t="s">
        <v>51</v>
      </c>
      <c r="C31" s="11">
        <v>32</v>
      </c>
      <c r="D31" s="12">
        <f>Reference!B69</f>
        <v>6838.5944</v>
      </c>
      <c r="E31" s="13">
        <f>Reference!C69</f>
        <v>37.456499999999998</v>
      </c>
      <c r="F31" s="13">
        <f>Reference!D69</f>
        <v>44.389200000000002</v>
      </c>
      <c r="G31" s="13">
        <f>Reference!E69</f>
        <v>46.617699999999999</v>
      </c>
      <c r="H31" s="13">
        <f>Reference!F69</f>
        <v>7296.0640000000003</v>
      </c>
      <c r="I31" s="13">
        <f>Reference!G69</f>
        <v>23.588000000000001</v>
      </c>
      <c r="J31" s="14">
        <f>Reference!H69</f>
        <v>0</v>
      </c>
      <c r="K31" s="20"/>
      <c r="L31" s="12">
        <f>Test!B69</f>
        <v>6842.0976000000001</v>
      </c>
      <c r="M31" s="13">
        <f>Test!C69</f>
        <v>38.001399999999997</v>
      </c>
      <c r="N31" s="13">
        <f>Test!D69</f>
        <v>44.877299999999998</v>
      </c>
      <c r="O31" s="13">
        <f>Test!E69</f>
        <v>46.915399999999998</v>
      </c>
      <c r="P31" s="13">
        <f>Test!F69</f>
        <v>231859.63200000001</v>
      </c>
      <c r="Q31" s="13">
        <f>Test!G69</f>
        <v>29.106999999999999</v>
      </c>
      <c r="R31" s="13">
        <f>Test!H69</f>
        <v>0</v>
      </c>
      <c r="S31" s="12">
        <f t="shared" si="2"/>
        <v>31.778727818177035</v>
      </c>
      <c r="T31" s="13">
        <f t="shared" si="2"/>
        <v>1.2339749024927928</v>
      </c>
      <c r="U31" s="60">
        <f t="shared" si="1"/>
        <v>1.0005122690124744</v>
      </c>
      <c r="V31" s="40">
        <f>bdrate($D31:$D34,E31:E34,$L31:$L34,M31:M34)</f>
        <v>-0.23105548991612168</v>
      </c>
      <c r="W31" s="40">
        <f>bdrate($D31:$D34,F31:F34,$L31:$L34,N31:N34)</f>
        <v>-0.12763044155200742</v>
      </c>
      <c r="X31" s="40">
        <f>bdrate($D31:$D34,G31:G34,$L31:$L34,O31:O34)</f>
        <v>-0.11554211926530578</v>
      </c>
      <c r="Y31" s="38">
        <f>bdrateOld($D31:$D34,E31:E34,$L31:$L34,M31:M34)</f>
        <v>-0.23180482940128644</v>
      </c>
      <c r="Z31" s="42">
        <f>bdrateOld($D31:$D34,F31:F34,$L31:$L34,N31:N34)</f>
        <v>-0.12645398042811129</v>
      </c>
      <c r="AA31" s="43">
        <f>bdrateOld($D31:$D34,G31:G34,$L31:$L34,O31:O34)</f>
        <v>-0.11640313834526794</v>
      </c>
    </row>
    <row r="32" spans="1:27" x14ac:dyDescent="0.2">
      <c r="A32" s="16"/>
      <c r="B32" s="16"/>
      <c r="C32" s="16">
        <v>38</v>
      </c>
      <c r="D32" s="17">
        <f>Reference!B70</f>
        <v>3457.2456000000002</v>
      </c>
      <c r="E32" s="18">
        <f>Reference!C70</f>
        <v>34.402700000000003</v>
      </c>
      <c r="F32" s="18">
        <f>Reference!D70</f>
        <v>42.422499999999999</v>
      </c>
      <c r="G32" s="18">
        <f>Reference!E70</f>
        <v>44.831600000000002</v>
      </c>
      <c r="H32" s="18">
        <f>Reference!F70</f>
        <v>6060.6840000000002</v>
      </c>
      <c r="I32" s="18">
        <f>Reference!G70</f>
        <v>19.806000000000001</v>
      </c>
      <c r="J32" s="19">
        <f>Reference!H70</f>
        <v>0</v>
      </c>
      <c r="K32" s="20"/>
      <c r="L32" s="17">
        <f>Test!B70</f>
        <v>3634.4751999999999</v>
      </c>
      <c r="M32" s="18">
        <f>Test!C70</f>
        <v>35.447400000000002</v>
      </c>
      <c r="N32" s="18">
        <f>Test!D70</f>
        <v>43.1126</v>
      </c>
      <c r="O32" s="18">
        <f>Test!E70</f>
        <v>45.350999999999999</v>
      </c>
      <c r="P32" s="18">
        <f>Test!F70</f>
        <v>151698.054</v>
      </c>
      <c r="Q32" s="18">
        <f>Test!G70</f>
        <v>25.527000000000001</v>
      </c>
      <c r="R32" s="18">
        <f>Test!H70</f>
        <v>0</v>
      </c>
      <c r="S32" s="17">
        <f t="shared" si="2"/>
        <v>25.029857026038645</v>
      </c>
      <c r="T32" s="18">
        <f t="shared" si="2"/>
        <v>1.2888518630717964</v>
      </c>
      <c r="U32" s="61">
        <f t="shared" si="1"/>
        <v>1.0512632368380193</v>
      </c>
      <c r="V32" s="25"/>
      <c r="W32" s="25"/>
      <c r="X32" s="25"/>
      <c r="Y32" s="36"/>
      <c r="Z32" s="25"/>
      <c r="AA32" s="48"/>
    </row>
    <row r="33" spans="1:27" x14ac:dyDescent="0.2">
      <c r="A33" s="16"/>
      <c r="B33" s="16"/>
      <c r="C33" s="16">
        <v>43</v>
      </c>
      <c r="D33" s="17">
        <f>Reference!B71</f>
        <v>1636.5496000000001</v>
      </c>
      <c r="E33" s="18">
        <f>Reference!C71</f>
        <v>31.255700000000001</v>
      </c>
      <c r="F33" s="18">
        <f>Reference!D71</f>
        <v>40.913899999999998</v>
      </c>
      <c r="G33" s="18">
        <f>Reference!E71</f>
        <v>43.317</v>
      </c>
      <c r="H33" s="18">
        <f>Reference!F71</f>
        <v>5124.7749999999996</v>
      </c>
      <c r="I33" s="18">
        <f>Reference!G71</f>
        <v>17.361999999999998</v>
      </c>
      <c r="J33" s="19">
        <f>Reference!H71</f>
        <v>0</v>
      </c>
      <c r="K33" s="20"/>
      <c r="L33" s="17">
        <f>Test!B71</f>
        <v>1611.5871999999999</v>
      </c>
      <c r="M33" s="18">
        <f>Test!C71</f>
        <v>32.447699999999998</v>
      </c>
      <c r="N33" s="18">
        <f>Test!D71</f>
        <v>41.042900000000003</v>
      </c>
      <c r="O33" s="18">
        <f>Test!E71</f>
        <v>43.548999999999999</v>
      </c>
      <c r="P33" s="18">
        <f>Test!F71</f>
        <v>90900.831999999995</v>
      </c>
      <c r="Q33" s="18">
        <f>Test!G71</f>
        <v>21.465</v>
      </c>
      <c r="R33" s="18">
        <f>Test!H71</f>
        <v>0</v>
      </c>
      <c r="S33" s="17">
        <f t="shared" si="2"/>
        <v>17.737526427989522</v>
      </c>
      <c r="T33" s="18">
        <f t="shared" si="2"/>
        <v>1.2363207003801406</v>
      </c>
      <c r="U33" s="61">
        <f t="shared" si="1"/>
        <v>0.98474693342627673</v>
      </c>
      <c r="V33" s="25"/>
      <c r="W33" s="25"/>
      <c r="X33" s="25"/>
      <c r="Y33" s="36"/>
      <c r="Z33" s="25"/>
      <c r="AA33" s="48"/>
    </row>
    <row r="34" spans="1:27" ht="12.75" thickBot="1" x14ac:dyDescent="0.25">
      <c r="A34" s="16"/>
      <c r="B34" s="21"/>
      <c r="C34" s="21">
        <v>48</v>
      </c>
      <c r="D34" s="17">
        <f>Reference!B72</f>
        <v>778.53120000000001</v>
      </c>
      <c r="E34" s="18">
        <f>Reference!C72</f>
        <v>28.079899999999999</v>
      </c>
      <c r="F34" s="18">
        <f>Reference!D72</f>
        <v>39.784100000000002</v>
      </c>
      <c r="G34" s="18">
        <f>Reference!E72</f>
        <v>42.067700000000002</v>
      </c>
      <c r="H34" s="18">
        <f>Reference!F72</f>
        <v>4489.6189999999997</v>
      </c>
      <c r="I34" s="18">
        <f>Reference!G72</f>
        <v>15.496</v>
      </c>
      <c r="J34" s="24">
        <f>Reference!H72</f>
        <v>0</v>
      </c>
      <c r="K34" s="20"/>
      <c r="L34" s="17">
        <f>Test!B72</f>
        <v>707.95360000000005</v>
      </c>
      <c r="M34" s="18">
        <f>Test!C72</f>
        <v>29.391300000000001</v>
      </c>
      <c r="N34" s="18">
        <f>Test!D72</f>
        <v>39.427199999999999</v>
      </c>
      <c r="O34" s="18">
        <f>Test!E72</f>
        <v>41.636400000000002</v>
      </c>
      <c r="P34" s="18">
        <f>Test!F72</f>
        <v>50832.292999999998</v>
      </c>
      <c r="Q34" s="18">
        <f>Test!G72</f>
        <v>18.207999999999998</v>
      </c>
      <c r="R34" s="23">
        <f>Test!H72</f>
        <v>0</v>
      </c>
      <c r="S34" s="22">
        <f t="shared" si="2"/>
        <v>11.322184131882906</v>
      </c>
      <c r="T34" s="23">
        <f t="shared" si="2"/>
        <v>1.1750129065565307</v>
      </c>
      <c r="U34" s="62">
        <f t="shared" si="1"/>
        <v>0.90934518745041948</v>
      </c>
      <c r="V34" s="49"/>
      <c r="W34" s="49"/>
      <c r="X34" s="49"/>
      <c r="Y34" s="37"/>
      <c r="Z34" s="49"/>
      <c r="AA34" s="50"/>
    </row>
    <row r="35" spans="1:27" ht="14.25" x14ac:dyDescent="0.25">
      <c r="A35" s="16"/>
      <c r="B35" s="99" t="s">
        <v>86</v>
      </c>
      <c r="C35" s="11">
        <v>32</v>
      </c>
      <c r="D35" s="12">
        <f>Reference!B73</f>
        <v>3418.8416000000002</v>
      </c>
      <c r="E35" s="13">
        <f>Reference!C73</f>
        <v>34.521099999999997</v>
      </c>
      <c r="F35" s="13">
        <f>Reference!D73</f>
        <v>41.569400000000002</v>
      </c>
      <c r="G35" s="13">
        <f>Reference!E73</f>
        <v>42.052100000000003</v>
      </c>
      <c r="H35" s="13">
        <f>Reference!F73</f>
        <v>5547.64</v>
      </c>
      <c r="I35" s="13">
        <f>Reference!G73</f>
        <v>16.984000000000002</v>
      </c>
      <c r="J35" s="14">
        <f>Reference!H73</f>
        <v>0</v>
      </c>
      <c r="K35" s="20"/>
      <c r="L35" s="12">
        <f>Test!B73</f>
        <v>2751.7784000000001</v>
      </c>
      <c r="M35" s="13">
        <f>Test!C73</f>
        <v>35.161700000000003</v>
      </c>
      <c r="N35" s="13">
        <f>Test!D73</f>
        <v>41.876899999999999</v>
      </c>
      <c r="O35" s="13">
        <f>Test!E73</f>
        <v>42.328200000000002</v>
      </c>
      <c r="P35" s="13">
        <f>Test!F73</f>
        <v>162790.986</v>
      </c>
      <c r="Q35" s="13">
        <f>Test!G73</f>
        <v>18.54</v>
      </c>
      <c r="R35" s="13">
        <f>Test!H73</f>
        <v>0</v>
      </c>
      <c r="S35" s="12">
        <f t="shared" si="2"/>
        <v>29.344187077748376</v>
      </c>
      <c r="T35" s="13">
        <f t="shared" si="2"/>
        <v>1.0916156382477624</v>
      </c>
      <c r="U35" s="60">
        <f t="shared" si="1"/>
        <v>0.80488619303099618</v>
      </c>
      <c r="V35" s="40">
        <f>bdrate($D35:$D38,E35:E38,$L35:$L38,M35:M38)</f>
        <v>-0.47373590394272513</v>
      </c>
      <c r="W35" s="40">
        <f>bdrate($D35:$D38,F35:F38,$L35:$L38,N35:N38)</f>
        <v>-0.38668707108966749</v>
      </c>
      <c r="X35" s="40">
        <f>bdrate($D35:$D38,G35:G38,$L35:$L38,O35:O38)</f>
        <v>-0.41352714959673409</v>
      </c>
      <c r="Y35" s="38">
        <f>bdrateOld($D35:$D38,E35:E38,$L35:$L38,M35:M38)</f>
        <v>-0.47337285407017704</v>
      </c>
      <c r="Z35" s="42">
        <f>bdrateOld($D35:$D38,F35:F38,$L35:$L38,N35:N38)</f>
        <v>-0.38174592303880384</v>
      </c>
      <c r="AA35" s="43">
        <f>bdrateOld($D35:$D38,G35:G38,$L35:$L38,O35:O38)</f>
        <v>-0.408846047112571</v>
      </c>
    </row>
    <row r="36" spans="1:27" x14ac:dyDescent="0.2">
      <c r="A36" s="16"/>
      <c r="B36" s="16"/>
      <c r="C36" s="16">
        <v>38</v>
      </c>
      <c r="D36" s="17">
        <f>Reference!B74</f>
        <v>1699.4304</v>
      </c>
      <c r="E36" s="18">
        <f>Reference!C74</f>
        <v>31.012499999999999</v>
      </c>
      <c r="F36" s="18">
        <f>Reference!D74</f>
        <v>39.745600000000003</v>
      </c>
      <c r="G36" s="18">
        <f>Reference!E74</f>
        <v>40.355899999999998</v>
      </c>
      <c r="H36" s="18">
        <f>Reference!F74</f>
        <v>4285.5230000000001</v>
      </c>
      <c r="I36" s="18">
        <f>Reference!G74</f>
        <v>15.11</v>
      </c>
      <c r="J36" s="19">
        <f>Reference!H74</f>
        <v>0</v>
      </c>
      <c r="K36" s="20"/>
      <c r="L36" s="17">
        <f>Test!B74</f>
        <v>1247.5776000000001</v>
      </c>
      <c r="M36" s="18">
        <f>Test!C74</f>
        <v>32.092799999999997</v>
      </c>
      <c r="N36" s="18">
        <f>Test!D74</f>
        <v>40.320300000000003</v>
      </c>
      <c r="O36" s="18">
        <f>Test!E74</f>
        <v>40.947200000000002</v>
      </c>
      <c r="P36" s="18">
        <f>Test!F74</f>
        <v>87759.725000000006</v>
      </c>
      <c r="Q36" s="18">
        <f>Test!G74</f>
        <v>15.731</v>
      </c>
      <c r="R36" s="18">
        <f>Test!H74</f>
        <v>0</v>
      </c>
      <c r="S36" s="17">
        <f t="shared" si="2"/>
        <v>20.478183176242435</v>
      </c>
      <c r="T36" s="18">
        <f t="shared" si="2"/>
        <v>1.041098610191926</v>
      </c>
      <c r="U36" s="61">
        <f t="shared" si="1"/>
        <v>0.73411514822848889</v>
      </c>
      <c r="V36" s="25"/>
      <c r="W36" s="25"/>
      <c r="X36" s="25"/>
      <c r="Y36" s="36"/>
      <c r="Z36" s="25"/>
      <c r="AA36" s="48"/>
    </row>
    <row r="37" spans="1:27" x14ac:dyDescent="0.2">
      <c r="A37" s="16"/>
      <c r="B37" s="16"/>
      <c r="C37" s="16">
        <v>43</v>
      </c>
      <c r="D37" s="17">
        <f>Reference!B75</f>
        <v>821.3528</v>
      </c>
      <c r="E37" s="18">
        <f>Reference!C75</f>
        <v>27.5427</v>
      </c>
      <c r="F37" s="18">
        <f>Reference!D75</f>
        <v>38.4542</v>
      </c>
      <c r="G37" s="18">
        <f>Reference!E75</f>
        <v>39.206600000000002</v>
      </c>
      <c r="H37" s="18">
        <f>Reference!F75</f>
        <v>3751.4450000000002</v>
      </c>
      <c r="I37" s="18">
        <f>Reference!G75</f>
        <v>13.872999999999999</v>
      </c>
      <c r="J37" s="19">
        <f>Reference!H75</f>
        <v>0</v>
      </c>
      <c r="K37" s="20"/>
      <c r="L37" s="17">
        <f>Test!B75</f>
        <v>505.12479999999999</v>
      </c>
      <c r="M37" s="18">
        <f>Test!C75</f>
        <v>28.619599999999998</v>
      </c>
      <c r="N37" s="18">
        <f>Test!D75</f>
        <v>38.413400000000003</v>
      </c>
      <c r="O37" s="18">
        <f>Test!E75</f>
        <v>39.256900000000002</v>
      </c>
      <c r="P37" s="18">
        <f>Test!F75</f>
        <v>49064.396999999997</v>
      </c>
      <c r="Q37" s="18">
        <f>Test!G75</f>
        <v>14.497999999999999</v>
      </c>
      <c r="R37" s="18">
        <f>Test!H75</f>
        <v>0</v>
      </c>
      <c r="S37" s="17">
        <f t="shared" si="2"/>
        <v>13.078799502591666</v>
      </c>
      <c r="T37" s="18">
        <f t="shared" si="2"/>
        <v>1.0450515389605708</v>
      </c>
      <c r="U37" s="61">
        <f t="shared" si="1"/>
        <v>0.61499126806410109</v>
      </c>
      <c r="V37" s="25"/>
      <c r="W37" s="25"/>
      <c r="X37" s="25"/>
      <c r="Y37" s="36"/>
      <c r="Z37" s="25"/>
      <c r="AA37" s="48"/>
    </row>
    <row r="38" spans="1:27" ht="12.75" thickBot="1" x14ac:dyDescent="0.25">
      <c r="A38" s="16"/>
      <c r="B38" s="21"/>
      <c r="C38" s="21">
        <v>48</v>
      </c>
      <c r="D38" s="17">
        <f>Reference!B76</f>
        <v>366.36160000000001</v>
      </c>
      <c r="E38" s="18">
        <f>Reference!C76</f>
        <v>24.2255</v>
      </c>
      <c r="F38" s="18">
        <f>Reference!D76</f>
        <v>37.562100000000001</v>
      </c>
      <c r="G38" s="18">
        <f>Reference!E76</f>
        <v>38.396599999999999</v>
      </c>
      <c r="H38" s="18">
        <f>Reference!F76</f>
        <v>3471.337</v>
      </c>
      <c r="I38" s="18">
        <f>Reference!G76</f>
        <v>12.786</v>
      </c>
      <c r="J38" s="24">
        <f>Reference!H76</f>
        <v>0</v>
      </c>
      <c r="K38" s="20"/>
      <c r="L38" s="17">
        <f>Test!B76</f>
        <v>205.16640000000001</v>
      </c>
      <c r="M38" s="18">
        <f>Test!C76</f>
        <v>25.3245</v>
      </c>
      <c r="N38" s="18">
        <f>Test!D76</f>
        <v>37.1922</v>
      </c>
      <c r="O38" s="18">
        <f>Test!E76</f>
        <v>38.189399999999999</v>
      </c>
      <c r="P38" s="18">
        <f>Test!F76</f>
        <v>28914.427</v>
      </c>
      <c r="Q38" s="18">
        <f>Test!G76</f>
        <v>12.763</v>
      </c>
      <c r="R38" s="23">
        <f>Test!H76</f>
        <v>0</v>
      </c>
      <c r="S38" s="22">
        <f t="shared" si="2"/>
        <v>8.3294785265734781</v>
      </c>
      <c r="T38" s="23">
        <f t="shared" si="2"/>
        <v>0.99820115751603322</v>
      </c>
      <c r="U38" s="62">
        <f t="shared" si="1"/>
        <v>0.56001065613863465</v>
      </c>
      <c r="V38" s="49"/>
      <c r="W38" s="49"/>
      <c r="X38" s="49"/>
      <c r="Y38" s="37"/>
      <c r="Z38" s="49"/>
      <c r="AA38" s="50"/>
    </row>
    <row r="39" spans="1:27" ht="14.25" x14ac:dyDescent="0.25">
      <c r="A39" s="16"/>
      <c r="B39" s="99" t="s">
        <v>87</v>
      </c>
      <c r="C39" s="11">
        <v>32</v>
      </c>
      <c r="D39" s="12">
        <f>Reference!B77</f>
        <v>7575.7543999999998</v>
      </c>
      <c r="E39" s="13">
        <f>Reference!C77</f>
        <v>35.411099999999998</v>
      </c>
      <c r="F39" s="13">
        <f>Reference!D77</f>
        <v>42.469099999999997</v>
      </c>
      <c r="G39" s="13">
        <f>Reference!E77</f>
        <v>44.154800000000002</v>
      </c>
      <c r="H39" s="13">
        <f>Reference!F77</f>
        <v>8507.4159999999993</v>
      </c>
      <c r="I39" s="13">
        <f>Reference!G77</f>
        <v>25.027999999999999</v>
      </c>
      <c r="J39" s="14">
        <f>Reference!H77</f>
        <v>0</v>
      </c>
      <c r="K39" s="20"/>
      <c r="L39" s="12">
        <f>Test!B77</f>
        <v>7596.5487999999996</v>
      </c>
      <c r="M39" s="13">
        <f>Test!C77</f>
        <v>35.944299999999998</v>
      </c>
      <c r="N39" s="13">
        <f>Test!D77</f>
        <v>42.655799999999999</v>
      </c>
      <c r="O39" s="13">
        <f>Test!E77</f>
        <v>44.070799999999998</v>
      </c>
      <c r="P39" s="13">
        <f>Test!F77</f>
        <v>314693.94799999997</v>
      </c>
      <c r="Q39" s="13">
        <f>Test!G77</f>
        <v>32.948</v>
      </c>
      <c r="R39" s="14">
        <f>Test!H77</f>
        <v>0</v>
      </c>
      <c r="S39" s="12">
        <f t="shared" si="2"/>
        <v>36.990544249863881</v>
      </c>
      <c r="T39" s="13">
        <f t="shared" si="2"/>
        <v>1.3164455809493367</v>
      </c>
      <c r="U39" s="60">
        <f t="shared" si="1"/>
        <v>1.002744861950646</v>
      </c>
      <c r="V39" s="40">
        <f>bdrate($D39:$D42,E39:E42,$L39:$L42,M39:M42)</f>
        <v>-0.26555570122460281</v>
      </c>
      <c r="W39" s="40">
        <f>bdrate($D39:$D42,F39:F42,$L39:$L42,N39:N42)</f>
        <v>-6.9834248462836035E-2</v>
      </c>
      <c r="X39" s="41">
        <f>bdrate($D39:$D42,G39:G42,$L39:$L42,O39:O42)</f>
        <v>5.9385551692049843E-2</v>
      </c>
      <c r="Y39" s="35">
        <f>bdrateOld($D39:$D42,E39:E42,$L39:$L42,M39:M42)</f>
        <v>-0.26532618216088077</v>
      </c>
      <c r="Z39" s="40">
        <f>bdrateOld($D39:$D42,F39:F42,$L39:$L42,N39:N42)</f>
        <v>-6.8925341887255631E-2</v>
      </c>
      <c r="AA39" s="41">
        <f>bdrateOld($D39:$D42,G39:G42,$L39:$L42,O39:O42)</f>
        <v>5.7970899809292487E-2</v>
      </c>
    </row>
    <row r="40" spans="1:27" x14ac:dyDescent="0.2">
      <c r="A40" s="16"/>
      <c r="B40" s="16"/>
      <c r="C40" s="16">
        <v>38</v>
      </c>
      <c r="D40" s="17">
        <f>Reference!B78</f>
        <v>3305.3631999999998</v>
      </c>
      <c r="E40" s="18">
        <f>Reference!C78</f>
        <v>32.103900000000003</v>
      </c>
      <c r="F40" s="18">
        <f>Reference!D78</f>
        <v>40.481699999999996</v>
      </c>
      <c r="G40" s="18">
        <f>Reference!E78</f>
        <v>42.117400000000004</v>
      </c>
      <c r="H40" s="18">
        <f>Reference!F78</f>
        <v>6363.7950000000001</v>
      </c>
      <c r="I40" s="18">
        <f>Reference!G78</f>
        <v>20.14</v>
      </c>
      <c r="J40" s="19">
        <f>Reference!H78</f>
        <v>0</v>
      </c>
      <c r="K40" s="20"/>
      <c r="L40" s="17">
        <f>Test!B78</f>
        <v>3442.2743999999998</v>
      </c>
      <c r="M40" s="18">
        <f>Test!C78</f>
        <v>33.072299999999998</v>
      </c>
      <c r="N40" s="18">
        <f>Test!D78</f>
        <v>40.905700000000003</v>
      </c>
      <c r="O40" s="18">
        <f>Test!E78</f>
        <v>42.379899999999999</v>
      </c>
      <c r="P40" s="18">
        <f>Test!F78</f>
        <v>177211.58600000001</v>
      </c>
      <c r="Q40" s="18">
        <f>Test!G78</f>
        <v>25.798999999999999</v>
      </c>
      <c r="R40" s="19">
        <f>Test!H78</f>
        <v>0</v>
      </c>
      <c r="S40" s="17">
        <f t="shared" si="2"/>
        <v>27.846840760898175</v>
      </c>
      <c r="T40" s="18">
        <f t="shared" si="2"/>
        <v>1.2809831181727904</v>
      </c>
      <c r="U40" s="61">
        <f t="shared" si="1"/>
        <v>1.0414209246354531</v>
      </c>
      <c r="V40" s="25"/>
      <c r="W40" s="25"/>
      <c r="X40" s="48"/>
      <c r="Y40" s="36"/>
      <c r="Z40" s="25"/>
      <c r="AA40" s="48"/>
    </row>
    <row r="41" spans="1:27" x14ac:dyDescent="0.2">
      <c r="A41" s="16"/>
      <c r="B41" s="16"/>
      <c r="C41" s="16">
        <v>43</v>
      </c>
      <c r="D41" s="17">
        <f>Reference!B79</f>
        <v>1314.5056</v>
      </c>
      <c r="E41" s="18">
        <f>Reference!C79</f>
        <v>28.995100000000001</v>
      </c>
      <c r="F41" s="18">
        <f>Reference!D79</f>
        <v>38.954599999999999</v>
      </c>
      <c r="G41" s="18">
        <f>Reference!E79</f>
        <v>40.6693</v>
      </c>
      <c r="H41" s="18">
        <f>Reference!F79</f>
        <v>5089.076</v>
      </c>
      <c r="I41" s="18">
        <f>Reference!G79</f>
        <v>17.027000000000001</v>
      </c>
      <c r="J41" s="19">
        <f>Reference!H79</f>
        <v>0</v>
      </c>
      <c r="K41" s="20"/>
      <c r="L41" s="17">
        <f>Test!B79</f>
        <v>1220.0064</v>
      </c>
      <c r="M41" s="18">
        <f>Test!C79</f>
        <v>29.918099999999999</v>
      </c>
      <c r="N41" s="18">
        <f>Test!D79</f>
        <v>38.8643</v>
      </c>
      <c r="O41" s="18">
        <f>Test!E79</f>
        <v>40.2468</v>
      </c>
      <c r="P41" s="18">
        <f>Test!F79</f>
        <v>91916.4</v>
      </c>
      <c r="Q41" s="18">
        <f>Test!G79</f>
        <v>20.827999999999999</v>
      </c>
      <c r="R41" s="19">
        <f>Test!H79</f>
        <v>0</v>
      </c>
      <c r="S41" s="17">
        <f t="shared" si="2"/>
        <v>18.06151057677268</v>
      </c>
      <c r="T41" s="18">
        <f t="shared" si="2"/>
        <v>1.2232336876725201</v>
      </c>
      <c r="U41" s="61">
        <f t="shared" si="1"/>
        <v>0.92811046221484339</v>
      </c>
      <c r="V41" s="25"/>
      <c r="W41" s="25"/>
      <c r="X41" s="48"/>
      <c r="Y41" s="36"/>
      <c r="Z41" s="25"/>
      <c r="AA41" s="48"/>
    </row>
    <row r="42" spans="1:27" ht="12.75" thickBot="1" x14ac:dyDescent="0.25">
      <c r="A42" s="21"/>
      <c r="B42" s="21"/>
      <c r="C42" s="21">
        <v>48</v>
      </c>
      <c r="D42" s="22">
        <f>Reference!B80</f>
        <v>468.1</v>
      </c>
      <c r="E42" s="23">
        <f>Reference!C80</f>
        <v>26.0763</v>
      </c>
      <c r="F42" s="23">
        <f>Reference!D80</f>
        <v>37.6905</v>
      </c>
      <c r="G42" s="23">
        <f>Reference!E80</f>
        <v>39.461300000000001</v>
      </c>
      <c r="H42" s="23">
        <f>Reference!F80</f>
        <v>4208.8879999999999</v>
      </c>
      <c r="I42" s="23">
        <f>Reference!G80</f>
        <v>15.173999999999999</v>
      </c>
      <c r="J42" s="24">
        <f>Reference!H80</f>
        <v>0</v>
      </c>
      <c r="K42" s="97"/>
      <c r="L42" s="22">
        <f>Test!B80</f>
        <v>393.19040000000001</v>
      </c>
      <c r="M42" s="23">
        <f>Test!C80</f>
        <v>26.953600000000002</v>
      </c>
      <c r="N42" s="23">
        <f>Test!D80</f>
        <v>37.1935</v>
      </c>
      <c r="O42" s="23">
        <f>Test!E80</f>
        <v>38.681399999999996</v>
      </c>
      <c r="P42" s="23">
        <f>Test!F80</f>
        <v>43158.28</v>
      </c>
      <c r="Q42" s="23">
        <f>Test!G80</f>
        <v>16.422999999999998</v>
      </c>
      <c r="R42" s="24">
        <f>Test!H80</f>
        <v>0</v>
      </c>
      <c r="S42" s="22">
        <f t="shared" si="2"/>
        <v>10.254081363058367</v>
      </c>
      <c r="T42" s="23">
        <f t="shared" si="2"/>
        <v>1.0823118492157637</v>
      </c>
      <c r="U42" s="62">
        <f t="shared" si="1"/>
        <v>0.83997094637897884</v>
      </c>
      <c r="V42" s="49"/>
      <c r="W42" s="49"/>
      <c r="X42" s="50"/>
      <c r="Y42" s="37"/>
      <c r="Z42" s="49"/>
      <c r="AA42" s="50"/>
    </row>
    <row r="43" spans="1:27" x14ac:dyDescent="0.2">
      <c r="B43" s="1" t="s">
        <v>88</v>
      </c>
      <c r="I43" s="15">
        <f>GEOMEAN(I3:I26)</f>
        <v>70.307611675118096</v>
      </c>
      <c r="J43" s="15" t="e">
        <f>GEOMEAN(J3:J26)</f>
        <v>#NUM!</v>
      </c>
      <c r="Q43" s="15">
        <f>GEOMEAN(Q3:Q26)</f>
        <v>89.578518192301019</v>
      </c>
      <c r="R43" s="15" t="e">
        <f>GEOMEAN(R3:R26)</f>
        <v>#NUM!</v>
      </c>
      <c r="S43" s="15">
        <f t="shared" ref="S43:T43" si="3">GEOMEAN(S3:S26)</f>
        <v>16.926940645920258</v>
      </c>
      <c r="T43" s="15">
        <f t="shared" si="3"/>
        <v>1.2740941707169797</v>
      </c>
      <c r="V43" s="38">
        <f>AVERAGE(V3,V7,V11,V15,V19,V23)</f>
        <v>-0.3164826316709245</v>
      </c>
      <c r="W43" s="42">
        <f t="shared" ref="W43:AA43" si="4">AVERAGE(W3,W7,W11,W15,W19,W23)</f>
        <v>-0.13330883007614153</v>
      </c>
      <c r="X43" s="42">
        <f t="shared" si="4"/>
        <v>-0.17035432361126909</v>
      </c>
      <c r="Y43" s="38">
        <f>AVERAGE(Y3,Y7,Y11,Y15,Y19,Y23)</f>
        <v>-0.31808550001051833</v>
      </c>
      <c r="Z43" s="42">
        <f t="shared" si="4"/>
        <v>-0.13721384056779271</v>
      </c>
      <c r="AA43" s="43">
        <f t="shared" si="4"/>
        <v>-0.17601580934563529</v>
      </c>
    </row>
    <row r="44" spans="1:27" ht="12.75" thickBot="1" x14ac:dyDescent="0.25">
      <c r="B44" s="1" t="s">
        <v>89</v>
      </c>
      <c r="I44" s="15">
        <f>GEOMEAN(I27:I42)</f>
        <v>17.916836564268703</v>
      </c>
      <c r="J44" s="15" t="e">
        <f>GEOMEAN(J27:J42)</f>
        <v>#NUM!</v>
      </c>
      <c r="Q44" s="15">
        <f>GEOMEAN(Q27:Q42)</f>
        <v>21.162018174564029</v>
      </c>
      <c r="R44" s="15" t="e">
        <f>GEOMEAN(R27:R42)</f>
        <v>#NUM!</v>
      </c>
      <c r="S44" s="15"/>
      <c r="T44" s="15"/>
      <c r="V44" s="38">
        <f>AVERAGE(V27,V31,V35,V39)</f>
        <v>-0.3086858359460663</v>
      </c>
      <c r="W44" s="42">
        <f t="shared" ref="W44:AA44" si="5">AVERAGE(W27,W31,W35,W39)</f>
        <v>-0.14861643423769949</v>
      </c>
      <c r="X44" s="42">
        <f t="shared" si="5"/>
        <v>-0.11545945522838172</v>
      </c>
      <c r="Y44" s="38">
        <f>AVERAGE(Y27,Y31,Y35,Y39)</f>
        <v>-0.30883696070069699</v>
      </c>
      <c r="Z44" s="42">
        <f t="shared" si="5"/>
        <v>-0.14687482494607537</v>
      </c>
      <c r="AA44" s="43">
        <f t="shared" si="5"/>
        <v>-0.11527877556126048</v>
      </c>
    </row>
    <row r="45" spans="1:27" ht="12.75" thickBot="1" x14ac:dyDescent="0.25">
      <c r="A45" s="3"/>
      <c r="B45" s="4" t="s">
        <v>1</v>
      </c>
      <c r="C45" s="4"/>
      <c r="D45" s="4"/>
      <c r="E45" s="4"/>
      <c r="F45" s="4"/>
      <c r="G45" s="4"/>
      <c r="H45" s="4"/>
      <c r="I45" s="52">
        <f xml:space="preserve"> GEOMEAN(I3:I42)</f>
        <v>40.691709937577265</v>
      </c>
      <c r="J45" s="52" t="e">
        <f xml:space="preserve"> GEOMEAN(J3:J42)</f>
        <v>#NUM!</v>
      </c>
      <c r="K45" s="4"/>
      <c r="L45" s="4"/>
      <c r="M45" s="4"/>
      <c r="N45" s="4"/>
      <c r="O45" s="4"/>
      <c r="P45" s="4"/>
      <c r="Q45" s="52">
        <f xml:space="preserve"> GEOMEAN(Q3:Q42)</f>
        <v>50.297356199353004</v>
      </c>
      <c r="R45" s="52" t="e">
        <f xml:space="preserve"> GEOMEAN(R3:R42)</f>
        <v>#NUM!</v>
      </c>
      <c r="S45" s="52">
        <f xml:space="preserve"> GEOMEAN(S3:S42)</f>
        <v>18.208656262915412</v>
      </c>
      <c r="T45" s="52">
        <f>GEOMEAN(T3:T42)</f>
        <v>1.236059046830698</v>
      </c>
      <c r="U45" s="4"/>
      <c r="V45" s="39">
        <f>AVERAGE(V3:V42)</f>
        <v>-0.31336391338098124</v>
      </c>
      <c r="W45" s="44">
        <f t="shared" ref="W45:AA45" si="6">AVERAGE(W3:W42)</f>
        <v>-0.13943187174076471</v>
      </c>
      <c r="X45" s="45">
        <f t="shared" si="6"/>
        <v>-0.14839637625811414</v>
      </c>
      <c r="Y45" s="44">
        <f t="shared" si="6"/>
        <v>-0.31438608428658982</v>
      </c>
      <c r="Z45" s="44">
        <f t="shared" si="6"/>
        <v>-0.14107823431910577</v>
      </c>
      <c r="AA45" s="45">
        <f t="shared" si="6"/>
        <v>-0.15172099583188536</v>
      </c>
    </row>
    <row r="46" spans="1:27" x14ac:dyDescent="0.2">
      <c r="B46" s="1" t="s">
        <v>2</v>
      </c>
      <c r="I46" s="26">
        <f>GEOMEAN(I3:I42)</f>
        <v>40.691709937577265</v>
      </c>
      <c r="J46" s="26" t="e">
        <f>GEOMEAN(J3:J42)</f>
        <v>#NUM!</v>
      </c>
      <c r="Q46" s="26">
        <f>GEOMEAN(Q3:Q42)</f>
        <v>50.297356199353004</v>
      </c>
      <c r="R46" s="26" t="e">
        <f>GEOMEAN(R3:R42)</f>
        <v>#NUM!</v>
      </c>
      <c r="S46" s="26"/>
      <c r="T46" s="26"/>
    </row>
    <row r="47" spans="1:27" x14ac:dyDescent="0.2">
      <c r="B47" s="1" t="s">
        <v>3</v>
      </c>
      <c r="Q47" s="27">
        <f>Q46/I46</f>
        <v>1.2360590468306982</v>
      </c>
      <c r="R47" s="27" t="e">
        <f>R46/J46</f>
        <v>#NUM!</v>
      </c>
      <c r="S47" s="27"/>
      <c r="T47" s="27"/>
    </row>
    <row r="48" spans="1:27" x14ac:dyDescent="0.2">
      <c r="B48" s="1" t="s">
        <v>4</v>
      </c>
      <c r="I48" s="26"/>
      <c r="J48" s="26"/>
      <c r="Q48" s="26"/>
      <c r="R48" s="26"/>
      <c r="S48" s="26"/>
      <c r="T48" s="26"/>
    </row>
  </sheetData>
  <mergeCells count="4">
    <mergeCell ref="D1:J1"/>
    <mergeCell ref="L1:R1"/>
    <mergeCell ref="V1:X1"/>
    <mergeCell ref="Y1:AA1"/>
  </mergeCells>
  <phoneticPr fontId="8" type="noConversion"/>
  <conditionalFormatting sqref="Y11 V27:X30">
    <cfRule type="cellIs" dxfId="95" priority="81" operator="greaterThan">
      <formula>0.03</formula>
    </cfRule>
    <cfRule type="cellIs" dxfId="94" priority="82" stopIfTrue="1" operator="lessThan">
      <formula>-0.03</formula>
    </cfRule>
  </conditionalFormatting>
  <conditionalFormatting sqref="V3:X14">
    <cfRule type="cellIs" dxfId="93" priority="95" operator="greaterThan">
      <formula>0.03</formula>
    </cfRule>
    <cfRule type="cellIs" dxfId="92" priority="96" stopIfTrue="1" operator="lessThan">
      <formula>-0.03</formula>
    </cfRule>
  </conditionalFormatting>
  <conditionalFormatting sqref="Y3">
    <cfRule type="cellIs" dxfId="91" priority="93" operator="greaterThan">
      <formula>0.03</formula>
    </cfRule>
    <cfRule type="cellIs" dxfId="90" priority="94" stopIfTrue="1" operator="lessThan">
      <formula>-0.03</formula>
    </cfRule>
  </conditionalFormatting>
  <conditionalFormatting sqref="Z3">
    <cfRule type="cellIs" dxfId="89" priority="91" operator="greaterThan">
      <formula>0.03</formula>
    </cfRule>
    <cfRule type="cellIs" dxfId="88" priority="92" stopIfTrue="1" operator="lessThan">
      <formula>-0.03</formula>
    </cfRule>
  </conditionalFormatting>
  <conditionalFormatting sqref="AA3">
    <cfRule type="cellIs" dxfId="87" priority="89" operator="greaterThan">
      <formula>0.03</formula>
    </cfRule>
    <cfRule type="cellIs" dxfId="86" priority="90" stopIfTrue="1" operator="lessThan">
      <formula>-0.03</formula>
    </cfRule>
  </conditionalFormatting>
  <conditionalFormatting sqref="Y7">
    <cfRule type="cellIs" dxfId="85" priority="87" operator="greaterThan">
      <formula>0.03</formula>
    </cfRule>
    <cfRule type="cellIs" dxfId="84" priority="88" stopIfTrue="1" operator="lessThan">
      <formula>-0.03</formula>
    </cfRule>
  </conditionalFormatting>
  <conditionalFormatting sqref="Z7">
    <cfRule type="cellIs" dxfId="83" priority="85" operator="greaterThan">
      <formula>0.03</formula>
    </cfRule>
    <cfRule type="cellIs" dxfId="82" priority="86" stopIfTrue="1" operator="lessThan">
      <formula>-0.03</formula>
    </cfRule>
  </conditionalFormatting>
  <conditionalFormatting sqref="AA7">
    <cfRule type="cellIs" dxfId="81" priority="83" operator="greaterThan">
      <formula>0.03</formula>
    </cfRule>
    <cfRule type="cellIs" dxfId="80" priority="84" stopIfTrue="1" operator="lessThan">
      <formula>-0.03</formula>
    </cfRule>
  </conditionalFormatting>
  <conditionalFormatting sqref="Z11">
    <cfRule type="cellIs" dxfId="79" priority="79" operator="greaterThan">
      <formula>0.03</formula>
    </cfRule>
    <cfRule type="cellIs" dxfId="78" priority="80" stopIfTrue="1" operator="lessThan">
      <formula>-0.03</formula>
    </cfRule>
  </conditionalFormatting>
  <conditionalFormatting sqref="AA11">
    <cfRule type="cellIs" dxfId="77" priority="77" operator="greaterThan">
      <formula>0.03</formula>
    </cfRule>
    <cfRule type="cellIs" dxfId="76" priority="78" stopIfTrue="1" operator="lessThan">
      <formula>-0.03</formula>
    </cfRule>
  </conditionalFormatting>
  <conditionalFormatting sqref="Y14:Z14">
    <cfRule type="cellIs" dxfId="75" priority="71" operator="greaterThan">
      <formula>0.03</formula>
    </cfRule>
    <cfRule type="cellIs" dxfId="74" priority="72" stopIfTrue="1" operator="lessThan">
      <formula>-0.03</formula>
    </cfRule>
  </conditionalFormatting>
  <conditionalFormatting sqref="Y6:Z6">
    <cfRule type="cellIs" dxfId="73" priority="75" operator="greaterThan">
      <formula>0.03</formula>
    </cfRule>
    <cfRule type="cellIs" dxfId="72" priority="76" stopIfTrue="1" operator="lessThan">
      <formula>-0.03</formula>
    </cfRule>
  </conditionalFormatting>
  <conditionalFormatting sqref="Y10:Z10">
    <cfRule type="cellIs" dxfId="71" priority="73" operator="greaterThan">
      <formula>0.03</formula>
    </cfRule>
    <cfRule type="cellIs" dxfId="70" priority="74" stopIfTrue="1" operator="lessThan">
      <formula>-0.03</formula>
    </cfRule>
  </conditionalFormatting>
  <conditionalFormatting sqref="V45:AA45">
    <cfRule type="cellIs" dxfId="69" priority="69" operator="greaterThan">
      <formula>0.03</formula>
    </cfRule>
    <cfRule type="cellIs" dxfId="68" priority="70" stopIfTrue="1" operator="lessThan">
      <formula>-0.03</formula>
    </cfRule>
  </conditionalFormatting>
  <conditionalFormatting sqref="Y23">
    <cfRule type="cellIs" dxfId="67" priority="53" operator="greaterThan">
      <formula>0.03</formula>
    </cfRule>
    <cfRule type="cellIs" dxfId="66" priority="54" stopIfTrue="1" operator="lessThan">
      <formula>-0.03</formula>
    </cfRule>
  </conditionalFormatting>
  <conditionalFormatting sqref="V15:X26">
    <cfRule type="cellIs" dxfId="65" priority="67" operator="greaterThan">
      <formula>0.03</formula>
    </cfRule>
    <cfRule type="cellIs" dxfId="64" priority="68" stopIfTrue="1" operator="lessThan">
      <formula>-0.03</formula>
    </cfRule>
  </conditionalFormatting>
  <conditionalFormatting sqref="Y15">
    <cfRule type="cellIs" dxfId="63" priority="65" operator="greaterThan">
      <formula>0.03</formula>
    </cfRule>
    <cfRule type="cellIs" dxfId="62" priority="66" stopIfTrue="1" operator="lessThan">
      <formula>-0.03</formula>
    </cfRule>
  </conditionalFormatting>
  <conditionalFormatting sqref="Z15">
    <cfRule type="cellIs" dxfId="61" priority="63" operator="greaterThan">
      <formula>0.03</formula>
    </cfRule>
    <cfRule type="cellIs" dxfId="60" priority="64" stopIfTrue="1" operator="lessThan">
      <formula>-0.03</formula>
    </cfRule>
  </conditionalFormatting>
  <conditionalFormatting sqref="AA15">
    <cfRule type="cellIs" dxfId="59" priority="61" operator="greaterThan">
      <formula>0.03</formula>
    </cfRule>
    <cfRule type="cellIs" dxfId="58" priority="62" stopIfTrue="1" operator="lessThan">
      <formula>-0.03</formula>
    </cfRule>
  </conditionalFormatting>
  <conditionalFormatting sqref="Y19">
    <cfRule type="cellIs" dxfId="57" priority="59" operator="greaterThan">
      <formula>0.03</formula>
    </cfRule>
    <cfRule type="cellIs" dxfId="56" priority="60" stopIfTrue="1" operator="lessThan">
      <formula>-0.03</formula>
    </cfRule>
  </conditionalFormatting>
  <conditionalFormatting sqref="Z19">
    <cfRule type="cellIs" dxfId="55" priority="57" operator="greaterThan">
      <formula>0.03</formula>
    </cfRule>
    <cfRule type="cellIs" dxfId="54" priority="58" stopIfTrue="1" operator="lessThan">
      <formula>-0.03</formula>
    </cfRule>
  </conditionalFormatting>
  <conditionalFormatting sqref="AA19">
    <cfRule type="cellIs" dxfId="53" priority="55" operator="greaterThan">
      <formula>0.03</formula>
    </cfRule>
    <cfRule type="cellIs" dxfId="52" priority="56" stopIfTrue="1" operator="lessThan">
      <formula>-0.03</formula>
    </cfRule>
  </conditionalFormatting>
  <conditionalFormatting sqref="Z23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AA23">
    <cfRule type="cellIs" dxfId="49" priority="49" operator="greaterThan">
      <formula>0.03</formula>
    </cfRule>
    <cfRule type="cellIs" dxfId="48" priority="50" stopIfTrue="1" operator="lessThan">
      <formula>-0.03</formula>
    </cfRule>
  </conditionalFormatting>
  <conditionalFormatting sqref="Y26:Z26">
    <cfRule type="cellIs" dxfId="47" priority="43" operator="greaterThan">
      <formula>0.03</formula>
    </cfRule>
    <cfRule type="cellIs" dxfId="46" priority="44" stopIfTrue="1" operator="lessThan">
      <formula>-0.03</formula>
    </cfRule>
  </conditionalFormatting>
  <conditionalFormatting sqref="Y18:Z18">
    <cfRule type="cellIs" dxfId="45" priority="47" operator="greaterThan">
      <formula>0.03</formula>
    </cfRule>
    <cfRule type="cellIs" dxfId="44" priority="48" stopIfTrue="1" operator="lessThan">
      <formula>-0.03</formula>
    </cfRule>
  </conditionalFormatting>
  <conditionalFormatting sqref="Y22:Z22">
    <cfRule type="cellIs" dxfId="43" priority="45" operator="greaterThan">
      <formula>0.03</formula>
    </cfRule>
    <cfRule type="cellIs" dxfId="42" priority="46" stopIfTrue="1" operator="lessThan">
      <formula>-0.03</formula>
    </cfRule>
  </conditionalFormatting>
  <conditionalFormatting sqref="Y27">
    <cfRule type="cellIs" dxfId="41" priority="41" operator="greaterThan">
      <formula>0.03</formula>
    </cfRule>
    <cfRule type="cellIs" dxfId="40" priority="42" stopIfTrue="1" operator="lessThan">
      <formula>-0.03</formula>
    </cfRule>
  </conditionalFormatting>
  <conditionalFormatting sqref="Z27">
    <cfRule type="cellIs" dxfId="39" priority="39" operator="greaterThan">
      <formula>0.03</formula>
    </cfRule>
    <cfRule type="cellIs" dxfId="38" priority="40" stopIfTrue="1" operator="lessThan">
      <formula>-0.03</formula>
    </cfRule>
  </conditionalFormatting>
  <conditionalFormatting sqref="AA27">
    <cfRule type="cellIs" dxfId="37" priority="37" operator="greaterThan">
      <formula>0.03</formula>
    </cfRule>
    <cfRule type="cellIs" dxfId="36" priority="38" stopIfTrue="1" operator="lessThan">
      <formula>-0.03</formula>
    </cfRule>
  </conditionalFormatting>
  <conditionalFormatting sqref="Y30:Z30">
    <cfRule type="cellIs" dxfId="35" priority="35" operator="greaterThan">
      <formula>0.03</formula>
    </cfRule>
    <cfRule type="cellIs" dxfId="34" priority="36" stopIfTrue="1" operator="lessThan">
      <formula>-0.03</formula>
    </cfRule>
  </conditionalFormatting>
  <conditionalFormatting sqref="Y35">
    <cfRule type="cellIs" dxfId="33" priority="25" operator="greaterThan">
      <formula>0.03</formula>
    </cfRule>
    <cfRule type="cellIs" dxfId="32" priority="26" stopIfTrue="1" operator="lessThan">
      <formula>-0.03</formula>
    </cfRule>
  </conditionalFormatting>
  <conditionalFormatting sqref="V31:X38">
    <cfRule type="cellIs" dxfId="31" priority="33" operator="greaterThan">
      <formula>0.03</formula>
    </cfRule>
    <cfRule type="cellIs" dxfId="30" priority="34" stopIfTrue="1" operator="lessThan">
      <formula>-0.03</formula>
    </cfRule>
  </conditionalFormatting>
  <conditionalFormatting sqref="Y31">
    <cfRule type="cellIs" dxfId="29" priority="31" operator="greaterThan">
      <formula>0.03</formula>
    </cfRule>
    <cfRule type="cellIs" dxfId="28" priority="32" stopIfTrue="1" operator="lessThan">
      <formula>-0.03</formula>
    </cfRule>
  </conditionalFormatting>
  <conditionalFormatting sqref="Z31">
    <cfRule type="cellIs" dxfId="27" priority="29" operator="greaterThan">
      <formula>0.03</formula>
    </cfRule>
    <cfRule type="cellIs" dxfId="26" priority="30" stopIfTrue="1" operator="lessThan">
      <formula>-0.03</formula>
    </cfRule>
  </conditionalFormatting>
  <conditionalFormatting sqref="AA31">
    <cfRule type="cellIs" dxfId="25" priority="27" operator="greaterThan">
      <formula>0.03</formula>
    </cfRule>
    <cfRule type="cellIs" dxfId="24" priority="28" stopIfTrue="1" operator="lessThan">
      <formula>-0.03</formula>
    </cfRule>
  </conditionalFormatting>
  <conditionalFormatting sqref="Z35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AA35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Y38:Z38">
    <cfRule type="cellIs" dxfId="19" priority="17" operator="greaterThan">
      <formula>0.03</formula>
    </cfRule>
    <cfRule type="cellIs" dxfId="18" priority="18" stopIfTrue="1" operator="lessThan">
      <formula>-0.03</formula>
    </cfRule>
  </conditionalFormatting>
  <conditionalFormatting sqref="Y34:Z34">
    <cfRule type="cellIs" dxfId="17" priority="19" operator="greaterThan">
      <formula>0.03</formula>
    </cfRule>
    <cfRule type="cellIs" dxfId="16" priority="20" stopIfTrue="1" operator="lessThan">
      <formula>-0.03</formula>
    </cfRule>
  </conditionalFormatting>
  <conditionalFormatting sqref="V39:X42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Y39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Z39">
    <cfRule type="cellIs" dxfId="11" priority="11" operator="greaterThan">
      <formula>0.03</formula>
    </cfRule>
    <cfRule type="cellIs" dxfId="10" priority="12" stopIfTrue="1" operator="lessThan">
      <formula>-0.03</formula>
    </cfRule>
  </conditionalFormatting>
  <conditionalFormatting sqref="AA39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Y42:Z42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V43:X44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Y43:AA43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Y44:AA44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88"/>
  <sheetViews>
    <sheetView topLeftCell="A19" workbookViewId="0">
      <selection activeCell="A41" sqref="A41:G80"/>
    </sheetView>
  </sheetViews>
  <sheetFormatPr defaultColWidth="9" defaultRowHeight="14.25" x14ac:dyDescent="0.15"/>
  <cols>
    <col min="1" max="1" width="29.375" bestFit="1" customWidth="1"/>
    <col min="2" max="2" width="11.625" style="54" bestFit="1" customWidth="1"/>
  </cols>
  <sheetData>
    <row r="1" spans="1:7" x14ac:dyDescent="0.15">
      <c r="A1" s="74" t="s">
        <v>58</v>
      </c>
      <c r="B1" s="54">
        <v>34404.534399999997</v>
      </c>
      <c r="C1">
        <v>34.660899999999998</v>
      </c>
      <c r="D1">
        <v>44.384</v>
      </c>
      <c r="E1">
        <v>43.094700000000003</v>
      </c>
      <c r="F1">
        <v>33659.377999999997</v>
      </c>
      <c r="G1">
        <v>99.081999999999994</v>
      </c>
    </row>
    <row r="2" spans="1:7" x14ac:dyDescent="0.15">
      <c r="A2" s="74" t="s">
        <v>59</v>
      </c>
      <c r="B2" s="54">
        <v>15195.292799999999</v>
      </c>
      <c r="C2">
        <v>31.1143</v>
      </c>
      <c r="D2">
        <v>42.382199999999997</v>
      </c>
      <c r="E2">
        <v>41.345500000000001</v>
      </c>
      <c r="F2">
        <v>24631.377</v>
      </c>
      <c r="G2">
        <v>78.043999999999997</v>
      </c>
    </row>
    <row r="3" spans="1:7" x14ac:dyDescent="0.15">
      <c r="A3" s="74" t="s">
        <v>36</v>
      </c>
      <c r="B3" s="54">
        <v>5967.1855999999998</v>
      </c>
      <c r="C3">
        <v>27.8294</v>
      </c>
      <c r="D3">
        <v>41.033099999999997</v>
      </c>
      <c r="E3">
        <v>40.188499999999998</v>
      </c>
      <c r="F3">
        <v>19544.017</v>
      </c>
      <c r="G3">
        <v>65.061999999999998</v>
      </c>
    </row>
    <row r="4" spans="1:7" x14ac:dyDescent="0.15">
      <c r="A4" s="74" t="s">
        <v>60</v>
      </c>
      <c r="B4" s="54">
        <v>2155.6640000000002</v>
      </c>
      <c r="C4">
        <v>24.8202</v>
      </c>
      <c r="D4">
        <v>39.959200000000003</v>
      </c>
      <c r="E4">
        <v>39.276499999999999</v>
      </c>
      <c r="F4">
        <v>16305.045</v>
      </c>
      <c r="G4">
        <v>57.642000000000003</v>
      </c>
    </row>
    <row r="5" spans="1:7" x14ac:dyDescent="0.15">
      <c r="A5" s="74" t="s">
        <v>61</v>
      </c>
      <c r="B5" s="54">
        <v>43267.975200000001</v>
      </c>
      <c r="C5">
        <v>34.371600000000001</v>
      </c>
      <c r="D5">
        <v>44.938000000000002</v>
      </c>
      <c r="E5">
        <v>47.009799999999998</v>
      </c>
      <c r="F5">
        <v>41907.387999999999</v>
      </c>
      <c r="G5">
        <v>116.84099999999999</v>
      </c>
    </row>
    <row r="6" spans="1:7" x14ac:dyDescent="0.15">
      <c r="A6" s="74" t="s">
        <v>62</v>
      </c>
      <c r="B6" s="54">
        <v>16529.517599999999</v>
      </c>
      <c r="C6">
        <v>30.749099999999999</v>
      </c>
      <c r="D6">
        <v>43.465699999999998</v>
      </c>
      <c r="E6">
        <v>45.483499999999999</v>
      </c>
      <c r="F6">
        <v>29117.778999999999</v>
      </c>
      <c r="G6">
        <v>87.682000000000002</v>
      </c>
    </row>
    <row r="7" spans="1:7" x14ac:dyDescent="0.15">
      <c r="A7" s="74" t="s">
        <v>37</v>
      </c>
      <c r="B7" s="54">
        <v>5982.8495999999996</v>
      </c>
      <c r="C7">
        <v>27.559100000000001</v>
      </c>
      <c r="D7">
        <v>42.356699999999996</v>
      </c>
      <c r="E7">
        <v>44.373699999999999</v>
      </c>
      <c r="F7">
        <v>21895.767</v>
      </c>
      <c r="G7">
        <v>70.988</v>
      </c>
    </row>
    <row r="8" spans="1:7" x14ac:dyDescent="0.15">
      <c r="A8" s="74" t="s">
        <v>63</v>
      </c>
      <c r="B8" s="54">
        <v>2144.7664</v>
      </c>
      <c r="C8">
        <v>24.581199999999999</v>
      </c>
      <c r="D8">
        <v>41.375599999999999</v>
      </c>
      <c r="E8">
        <v>43.154699999999998</v>
      </c>
      <c r="F8">
        <v>17923.616999999998</v>
      </c>
      <c r="G8">
        <v>61.066000000000003</v>
      </c>
    </row>
    <row r="9" spans="1:7" x14ac:dyDescent="0.15">
      <c r="A9" s="74" t="s">
        <v>64</v>
      </c>
      <c r="B9" s="54">
        <v>8049.0343999999996</v>
      </c>
      <c r="C9">
        <v>39.618099999999998</v>
      </c>
      <c r="D9">
        <v>47.692100000000003</v>
      </c>
      <c r="E9">
        <v>46.505499999999998</v>
      </c>
      <c r="F9">
        <v>22800.404999999999</v>
      </c>
      <c r="G9">
        <v>73.656999999999996</v>
      </c>
    </row>
    <row r="10" spans="1:7" x14ac:dyDescent="0.15">
      <c r="A10" s="74" t="s">
        <v>65</v>
      </c>
      <c r="B10" s="54">
        <v>3710.9928</v>
      </c>
      <c r="C10">
        <v>36.917200000000001</v>
      </c>
      <c r="D10">
        <v>45.964700000000001</v>
      </c>
      <c r="E10">
        <v>44.889899999999997</v>
      </c>
      <c r="F10">
        <v>19562.621999999999</v>
      </c>
      <c r="G10">
        <v>64.864999999999995</v>
      </c>
    </row>
    <row r="11" spans="1:7" x14ac:dyDescent="0.15">
      <c r="A11" s="74" t="s">
        <v>38</v>
      </c>
      <c r="B11" s="54">
        <v>1837.8784000000001</v>
      </c>
      <c r="C11">
        <v>34.208100000000002</v>
      </c>
      <c r="D11">
        <v>44.660899999999998</v>
      </c>
      <c r="E11">
        <v>43.589199999999998</v>
      </c>
      <c r="F11">
        <v>17557.988000000001</v>
      </c>
      <c r="G11">
        <v>58.506</v>
      </c>
    </row>
    <row r="12" spans="1:7" x14ac:dyDescent="0.15">
      <c r="A12" s="74" t="s">
        <v>66</v>
      </c>
      <c r="B12" s="54">
        <v>967.88080000000002</v>
      </c>
      <c r="C12">
        <v>31.400400000000001</v>
      </c>
      <c r="D12">
        <v>43.447299999999998</v>
      </c>
      <c r="E12">
        <v>42.3703</v>
      </c>
      <c r="F12">
        <v>16178.968000000001</v>
      </c>
      <c r="G12">
        <v>55.152999999999999</v>
      </c>
    </row>
    <row r="13" spans="1:7" x14ac:dyDescent="0.15">
      <c r="A13" s="74" t="s">
        <v>67</v>
      </c>
      <c r="B13" s="54">
        <v>17805.6456</v>
      </c>
      <c r="C13">
        <v>36.594200000000001</v>
      </c>
      <c r="D13">
        <v>42.827199999999998</v>
      </c>
      <c r="E13">
        <v>42.444400000000002</v>
      </c>
      <c r="F13">
        <v>25444.393</v>
      </c>
      <c r="G13">
        <v>80.585999999999999</v>
      </c>
    </row>
    <row r="14" spans="1:7" x14ac:dyDescent="0.15">
      <c r="A14" s="74" t="s">
        <v>68</v>
      </c>
      <c r="B14" s="54">
        <v>7140.5576000000001</v>
      </c>
      <c r="C14">
        <v>33.334299999999999</v>
      </c>
      <c r="D14">
        <v>40.774999999999999</v>
      </c>
      <c r="E14">
        <v>40.471299999999999</v>
      </c>
      <c r="F14">
        <v>20065.737000000001</v>
      </c>
      <c r="G14">
        <v>66.778000000000006</v>
      </c>
    </row>
    <row r="15" spans="1:7" x14ac:dyDescent="0.15">
      <c r="A15" s="74" t="s">
        <v>39</v>
      </c>
      <c r="B15" s="54">
        <v>3165.5095999999999</v>
      </c>
      <c r="C15">
        <v>30.059000000000001</v>
      </c>
      <c r="D15">
        <v>39.2911</v>
      </c>
      <c r="E15">
        <v>38.985500000000002</v>
      </c>
      <c r="F15">
        <v>17043.374</v>
      </c>
      <c r="G15">
        <v>59.697000000000003</v>
      </c>
    </row>
    <row r="16" spans="1:7" x14ac:dyDescent="0.15">
      <c r="A16" s="74" t="s">
        <v>69</v>
      </c>
      <c r="B16" s="54">
        <v>1505.8432</v>
      </c>
      <c r="C16">
        <v>26.700800000000001</v>
      </c>
      <c r="D16">
        <v>38.173499999999997</v>
      </c>
      <c r="E16">
        <v>37.839300000000001</v>
      </c>
      <c r="F16">
        <v>15400.659</v>
      </c>
      <c r="G16">
        <v>55.005000000000003</v>
      </c>
    </row>
    <row r="17" spans="1:7" x14ac:dyDescent="0.15">
      <c r="A17" s="74" t="s">
        <v>52</v>
      </c>
      <c r="B17" s="54">
        <v>15987.6576</v>
      </c>
      <c r="C17">
        <v>36.108499999999999</v>
      </c>
      <c r="D17">
        <v>44.691600000000001</v>
      </c>
      <c r="E17">
        <v>45.419699999999999</v>
      </c>
      <c r="F17">
        <v>30684.918000000001</v>
      </c>
      <c r="G17">
        <v>87.736000000000004</v>
      </c>
    </row>
    <row r="18" spans="1:7" x14ac:dyDescent="0.15">
      <c r="A18" s="74" t="s">
        <v>53</v>
      </c>
      <c r="B18" s="54">
        <v>5909.9704000000002</v>
      </c>
      <c r="C18">
        <v>33.332299999999996</v>
      </c>
      <c r="D18">
        <v>42.618499999999997</v>
      </c>
      <c r="E18">
        <v>43.811</v>
      </c>
      <c r="F18">
        <v>21660.174999999999</v>
      </c>
      <c r="G18">
        <v>68.313000000000002</v>
      </c>
    </row>
    <row r="19" spans="1:7" x14ac:dyDescent="0.15">
      <c r="A19" s="74" t="s">
        <v>34</v>
      </c>
      <c r="B19" s="54">
        <v>2427.7840000000001</v>
      </c>
      <c r="C19">
        <v>30.8064</v>
      </c>
      <c r="D19">
        <v>41.092100000000002</v>
      </c>
      <c r="E19">
        <v>42.7986</v>
      </c>
      <c r="F19">
        <v>17673.698</v>
      </c>
      <c r="G19">
        <v>59.619</v>
      </c>
    </row>
    <row r="20" spans="1:7" x14ac:dyDescent="0.15">
      <c r="A20" s="74" t="s">
        <v>54</v>
      </c>
      <c r="B20" s="54">
        <v>978.87199999999996</v>
      </c>
      <c r="C20">
        <v>28.2912</v>
      </c>
      <c r="D20">
        <v>39.856200000000001</v>
      </c>
      <c r="E20">
        <v>41.797400000000003</v>
      </c>
      <c r="F20">
        <v>15534.986000000001</v>
      </c>
      <c r="G20">
        <v>53.512999999999998</v>
      </c>
    </row>
    <row r="21" spans="1:7" x14ac:dyDescent="0.15">
      <c r="A21" s="74" t="s">
        <v>55</v>
      </c>
      <c r="B21" s="54">
        <v>53999.968000000001</v>
      </c>
      <c r="C21">
        <v>35.781599999999997</v>
      </c>
      <c r="D21">
        <v>44.176600000000001</v>
      </c>
      <c r="E21">
        <v>44.660400000000003</v>
      </c>
      <c r="F21">
        <v>37125.237000000001</v>
      </c>
      <c r="G21">
        <v>109.524</v>
      </c>
    </row>
    <row r="22" spans="1:7" x14ac:dyDescent="0.15">
      <c r="A22" s="74" t="s">
        <v>56</v>
      </c>
      <c r="B22" s="54">
        <v>20602.883999999998</v>
      </c>
      <c r="C22">
        <v>32.078499999999998</v>
      </c>
      <c r="D22">
        <v>42.267899999999997</v>
      </c>
      <c r="E22">
        <v>43.119700000000002</v>
      </c>
      <c r="F22">
        <v>27300.898000000001</v>
      </c>
      <c r="G22">
        <v>83.262</v>
      </c>
    </row>
    <row r="23" spans="1:7" x14ac:dyDescent="0.15">
      <c r="A23" s="74" t="s">
        <v>35</v>
      </c>
      <c r="B23" s="54">
        <v>4832.5280000000002</v>
      </c>
      <c r="C23">
        <v>28.8476</v>
      </c>
      <c r="D23">
        <v>40.9878</v>
      </c>
      <c r="E23">
        <v>42.056199999999997</v>
      </c>
      <c r="F23">
        <v>19150.63</v>
      </c>
      <c r="G23">
        <v>64.093000000000004</v>
      </c>
    </row>
    <row r="24" spans="1:7" x14ac:dyDescent="0.15">
      <c r="A24" s="74" t="s">
        <v>57</v>
      </c>
      <c r="B24" s="54">
        <v>1322.904</v>
      </c>
      <c r="C24">
        <v>25.866499999999998</v>
      </c>
      <c r="D24">
        <v>40.0045</v>
      </c>
      <c r="E24">
        <v>41.196899999999999</v>
      </c>
      <c r="F24">
        <v>15169.424999999999</v>
      </c>
      <c r="G24">
        <v>54.279000000000003</v>
      </c>
    </row>
    <row r="25" spans="1:7" x14ac:dyDescent="0.15">
      <c r="A25" s="74" t="s">
        <v>76</v>
      </c>
      <c r="B25" s="54">
        <v>10241.456</v>
      </c>
      <c r="C25">
        <v>34.2029</v>
      </c>
      <c r="D25">
        <v>41.291600000000003</v>
      </c>
      <c r="E25">
        <v>42.590499999999999</v>
      </c>
      <c r="F25">
        <v>8990.8809999999994</v>
      </c>
      <c r="G25">
        <v>26.114999999999998</v>
      </c>
    </row>
    <row r="26" spans="1:7" x14ac:dyDescent="0.15">
      <c r="A26" s="74" t="s">
        <v>77</v>
      </c>
      <c r="B26" s="54">
        <v>4770.7191999999995</v>
      </c>
      <c r="C26">
        <v>30.652699999999999</v>
      </c>
      <c r="D26">
        <v>39.405000000000001</v>
      </c>
      <c r="E26">
        <v>41.007300000000001</v>
      </c>
      <c r="F26">
        <v>6740.9080000000004</v>
      </c>
      <c r="G26">
        <v>21.126000000000001</v>
      </c>
    </row>
    <row r="27" spans="1:7" x14ac:dyDescent="0.15">
      <c r="A27" s="74" t="s">
        <v>42</v>
      </c>
      <c r="B27" s="54">
        <v>1913.3088</v>
      </c>
      <c r="C27">
        <v>27.386700000000001</v>
      </c>
      <c r="D27">
        <v>38.068600000000004</v>
      </c>
      <c r="E27">
        <v>39.820399999999999</v>
      </c>
      <c r="F27">
        <v>5295.7280000000001</v>
      </c>
      <c r="G27">
        <v>17.884</v>
      </c>
    </row>
    <row r="28" spans="1:7" x14ac:dyDescent="0.15">
      <c r="A28" s="74" t="s">
        <v>78</v>
      </c>
      <c r="B28" s="54">
        <v>715.08399999999995</v>
      </c>
      <c r="C28">
        <v>24.3949</v>
      </c>
      <c r="D28">
        <v>37.061599999999999</v>
      </c>
      <c r="E28">
        <v>38.847999999999999</v>
      </c>
      <c r="F28">
        <v>4323.75</v>
      </c>
      <c r="G28">
        <v>15.337999999999999</v>
      </c>
    </row>
    <row r="29" spans="1:7" x14ac:dyDescent="0.15">
      <c r="A29" s="74" t="s">
        <v>79</v>
      </c>
      <c r="B29" s="54">
        <v>6838.5944</v>
      </c>
      <c r="C29">
        <v>37.456499999999998</v>
      </c>
      <c r="D29">
        <v>44.389200000000002</v>
      </c>
      <c r="E29">
        <v>46.617699999999999</v>
      </c>
      <c r="F29">
        <v>7296.0640000000003</v>
      </c>
      <c r="G29">
        <v>23.588000000000001</v>
      </c>
    </row>
    <row r="30" spans="1:7" x14ac:dyDescent="0.15">
      <c r="A30" s="74" t="s">
        <v>80</v>
      </c>
      <c r="B30" s="54">
        <v>3457.2456000000002</v>
      </c>
      <c r="C30">
        <v>34.402700000000003</v>
      </c>
      <c r="D30">
        <v>42.422499999999999</v>
      </c>
      <c r="E30">
        <v>44.831600000000002</v>
      </c>
      <c r="F30">
        <v>6060.6840000000002</v>
      </c>
      <c r="G30">
        <v>19.806000000000001</v>
      </c>
    </row>
    <row r="31" spans="1:7" x14ac:dyDescent="0.15">
      <c r="A31" s="74" t="s">
        <v>43</v>
      </c>
      <c r="B31" s="54">
        <v>1636.5496000000001</v>
      </c>
      <c r="C31">
        <v>31.255700000000001</v>
      </c>
      <c r="D31">
        <v>40.913899999999998</v>
      </c>
      <c r="E31">
        <v>43.317</v>
      </c>
      <c r="F31">
        <v>5124.7749999999996</v>
      </c>
      <c r="G31">
        <v>17.361999999999998</v>
      </c>
    </row>
    <row r="32" spans="1:7" x14ac:dyDescent="0.15">
      <c r="A32" s="74" t="s">
        <v>81</v>
      </c>
      <c r="B32" s="54">
        <v>778.53120000000001</v>
      </c>
      <c r="C32">
        <v>28.079899999999999</v>
      </c>
      <c r="D32">
        <v>39.784100000000002</v>
      </c>
      <c r="E32">
        <v>42.067700000000002</v>
      </c>
      <c r="F32">
        <v>4489.6189999999997</v>
      </c>
      <c r="G32">
        <v>15.496</v>
      </c>
    </row>
    <row r="33" spans="1:7" x14ac:dyDescent="0.15">
      <c r="A33" s="74" t="s">
        <v>73</v>
      </c>
      <c r="B33" s="54">
        <v>3418.8416000000002</v>
      </c>
      <c r="C33">
        <v>34.521099999999997</v>
      </c>
      <c r="D33">
        <v>41.569400000000002</v>
      </c>
      <c r="E33">
        <v>42.052100000000003</v>
      </c>
      <c r="F33">
        <v>5547.64</v>
      </c>
      <c r="G33">
        <v>16.984000000000002</v>
      </c>
    </row>
    <row r="34" spans="1:7" x14ac:dyDescent="0.15">
      <c r="A34" s="74" t="s">
        <v>74</v>
      </c>
      <c r="B34" s="54">
        <v>1699.4304</v>
      </c>
      <c r="C34">
        <v>31.012499999999999</v>
      </c>
      <c r="D34">
        <v>39.745600000000003</v>
      </c>
      <c r="E34">
        <v>40.355899999999998</v>
      </c>
      <c r="F34">
        <v>4285.5230000000001</v>
      </c>
      <c r="G34">
        <v>15.11</v>
      </c>
    </row>
    <row r="35" spans="1:7" x14ac:dyDescent="0.15">
      <c r="A35" s="74" t="s">
        <v>41</v>
      </c>
      <c r="B35" s="54">
        <v>821.3528</v>
      </c>
      <c r="C35">
        <v>27.5427</v>
      </c>
      <c r="D35">
        <v>38.4542</v>
      </c>
      <c r="E35">
        <v>39.206600000000002</v>
      </c>
      <c r="F35">
        <v>3751.4450000000002</v>
      </c>
      <c r="G35">
        <v>13.872999999999999</v>
      </c>
    </row>
    <row r="36" spans="1:7" x14ac:dyDescent="0.15">
      <c r="A36" s="74" t="s">
        <v>75</v>
      </c>
      <c r="B36" s="54">
        <v>366.36160000000001</v>
      </c>
      <c r="C36">
        <v>24.2255</v>
      </c>
      <c r="D36">
        <v>37.562100000000001</v>
      </c>
      <c r="E36">
        <v>38.396599999999999</v>
      </c>
      <c r="F36">
        <v>3471.337</v>
      </c>
      <c r="G36">
        <v>12.786</v>
      </c>
    </row>
    <row r="37" spans="1:7" x14ac:dyDescent="0.15">
      <c r="A37" s="74" t="s">
        <v>70</v>
      </c>
      <c r="B37" s="54">
        <v>7575.7543999999998</v>
      </c>
      <c r="C37">
        <v>35.411099999999998</v>
      </c>
      <c r="D37">
        <v>42.469099999999997</v>
      </c>
      <c r="E37">
        <v>44.154800000000002</v>
      </c>
      <c r="F37">
        <v>8507.4159999999993</v>
      </c>
      <c r="G37">
        <v>25.027999999999999</v>
      </c>
    </row>
    <row r="38" spans="1:7" x14ac:dyDescent="0.15">
      <c r="A38" s="74" t="s">
        <v>71</v>
      </c>
      <c r="B38" s="54">
        <v>3305.3631999999998</v>
      </c>
      <c r="C38">
        <v>32.103900000000003</v>
      </c>
      <c r="D38">
        <v>40.481699999999996</v>
      </c>
      <c r="E38">
        <v>42.117400000000004</v>
      </c>
      <c r="F38">
        <v>6363.7950000000001</v>
      </c>
      <c r="G38">
        <v>20.14</v>
      </c>
    </row>
    <row r="39" spans="1:7" x14ac:dyDescent="0.15">
      <c r="A39" s="74" t="s">
        <v>40</v>
      </c>
      <c r="B39" s="54">
        <v>1314.5056</v>
      </c>
      <c r="C39">
        <v>28.995100000000001</v>
      </c>
      <c r="D39">
        <v>38.954599999999999</v>
      </c>
      <c r="E39">
        <v>40.6693</v>
      </c>
      <c r="F39">
        <v>5089.076</v>
      </c>
      <c r="G39">
        <v>17.027000000000001</v>
      </c>
    </row>
    <row r="40" spans="1:7" x14ac:dyDescent="0.15">
      <c r="A40" s="74" t="s">
        <v>72</v>
      </c>
      <c r="B40" s="54">
        <v>468.1</v>
      </c>
      <c r="C40">
        <v>26.0763</v>
      </c>
      <c r="D40">
        <v>37.6905</v>
      </c>
      <c r="E40">
        <v>39.461300000000001</v>
      </c>
      <c r="F40">
        <v>4208.8879999999999</v>
      </c>
      <c r="G40">
        <v>15.173999999999999</v>
      </c>
    </row>
    <row r="41" spans="1:7" x14ac:dyDescent="0.15">
      <c r="A41" s="74" t="s">
        <v>58</v>
      </c>
      <c r="B41" s="54">
        <v>34404.534399999997</v>
      </c>
      <c r="C41">
        <v>34.660899999999998</v>
      </c>
      <c r="D41">
        <v>44.384</v>
      </c>
      <c r="E41">
        <v>43.094700000000003</v>
      </c>
      <c r="F41">
        <v>33659.377999999997</v>
      </c>
      <c r="G41">
        <v>99.081999999999994</v>
      </c>
    </row>
    <row r="42" spans="1:7" x14ac:dyDescent="0.15">
      <c r="A42" s="74" t="s">
        <v>59</v>
      </c>
      <c r="B42" s="54">
        <v>15195.292799999999</v>
      </c>
      <c r="C42">
        <v>31.1143</v>
      </c>
      <c r="D42">
        <v>42.382199999999997</v>
      </c>
      <c r="E42">
        <v>41.345500000000001</v>
      </c>
      <c r="F42">
        <v>24631.377</v>
      </c>
      <c r="G42">
        <v>78.043999999999997</v>
      </c>
    </row>
    <row r="43" spans="1:7" x14ac:dyDescent="0.15">
      <c r="A43" s="74" t="s">
        <v>36</v>
      </c>
      <c r="B43" s="54">
        <v>5967.1855999999998</v>
      </c>
      <c r="C43">
        <v>27.8294</v>
      </c>
      <c r="D43">
        <v>41.033099999999997</v>
      </c>
      <c r="E43">
        <v>40.188499999999998</v>
      </c>
      <c r="F43">
        <v>19544.017</v>
      </c>
      <c r="G43">
        <v>65.061999999999998</v>
      </c>
    </row>
    <row r="44" spans="1:7" x14ac:dyDescent="0.15">
      <c r="A44" s="74" t="s">
        <v>60</v>
      </c>
      <c r="B44" s="54">
        <v>2155.6640000000002</v>
      </c>
      <c r="C44">
        <v>24.8202</v>
      </c>
      <c r="D44">
        <v>39.959200000000003</v>
      </c>
      <c r="E44">
        <v>39.276499999999999</v>
      </c>
      <c r="F44">
        <v>16305.045</v>
      </c>
      <c r="G44">
        <v>57.642000000000003</v>
      </c>
    </row>
    <row r="45" spans="1:7" x14ac:dyDescent="0.15">
      <c r="A45" s="74" t="s">
        <v>61</v>
      </c>
      <c r="B45" s="54">
        <v>43267.975200000001</v>
      </c>
      <c r="C45">
        <v>34.371600000000001</v>
      </c>
      <c r="D45">
        <v>44.938000000000002</v>
      </c>
      <c r="E45">
        <v>47.009799999999998</v>
      </c>
      <c r="F45">
        <v>41907.387999999999</v>
      </c>
      <c r="G45">
        <v>116.84099999999999</v>
      </c>
    </row>
    <row r="46" spans="1:7" x14ac:dyDescent="0.15">
      <c r="A46" s="74" t="s">
        <v>62</v>
      </c>
      <c r="B46" s="54">
        <v>16529.517599999999</v>
      </c>
      <c r="C46">
        <v>30.749099999999999</v>
      </c>
      <c r="D46">
        <v>43.465699999999998</v>
      </c>
      <c r="E46">
        <v>45.483499999999999</v>
      </c>
      <c r="F46">
        <v>29117.778999999999</v>
      </c>
      <c r="G46">
        <v>87.682000000000002</v>
      </c>
    </row>
    <row r="47" spans="1:7" x14ac:dyDescent="0.15">
      <c r="A47" s="74" t="s">
        <v>37</v>
      </c>
      <c r="B47" s="54">
        <v>5982.8495999999996</v>
      </c>
      <c r="C47">
        <v>27.559100000000001</v>
      </c>
      <c r="D47">
        <v>42.356699999999996</v>
      </c>
      <c r="E47">
        <v>44.373699999999999</v>
      </c>
      <c r="F47">
        <v>21895.767</v>
      </c>
      <c r="G47">
        <v>70.988</v>
      </c>
    </row>
    <row r="48" spans="1:7" x14ac:dyDescent="0.15">
      <c r="A48" s="74" t="s">
        <v>63</v>
      </c>
      <c r="B48" s="54">
        <v>2144.7664</v>
      </c>
      <c r="C48">
        <v>24.581199999999999</v>
      </c>
      <c r="D48">
        <v>41.375599999999999</v>
      </c>
      <c r="E48">
        <v>43.154699999999998</v>
      </c>
      <c r="F48">
        <v>17923.616999999998</v>
      </c>
      <c r="G48">
        <v>61.066000000000003</v>
      </c>
    </row>
    <row r="49" spans="1:7" x14ac:dyDescent="0.15">
      <c r="A49" s="74" t="s">
        <v>64</v>
      </c>
      <c r="B49" s="54">
        <v>8049.0343999999996</v>
      </c>
      <c r="C49">
        <v>39.618099999999998</v>
      </c>
      <c r="D49">
        <v>47.692100000000003</v>
      </c>
      <c r="E49">
        <v>46.505499999999998</v>
      </c>
      <c r="F49">
        <v>22800.404999999999</v>
      </c>
      <c r="G49">
        <v>73.656999999999996</v>
      </c>
    </row>
    <row r="50" spans="1:7" x14ac:dyDescent="0.15">
      <c r="A50" s="74" t="s">
        <v>65</v>
      </c>
      <c r="B50" s="54">
        <v>3710.9928</v>
      </c>
      <c r="C50">
        <v>36.917200000000001</v>
      </c>
      <c r="D50">
        <v>45.964700000000001</v>
      </c>
      <c r="E50">
        <v>44.889899999999997</v>
      </c>
      <c r="F50">
        <v>19562.621999999999</v>
      </c>
      <c r="G50">
        <v>64.864999999999995</v>
      </c>
    </row>
    <row r="51" spans="1:7" x14ac:dyDescent="0.15">
      <c r="A51" s="74" t="s">
        <v>38</v>
      </c>
      <c r="B51" s="54">
        <v>1837.8784000000001</v>
      </c>
      <c r="C51">
        <v>34.208100000000002</v>
      </c>
      <c r="D51">
        <v>44.660899999999998</v>
      </c>
      <c r="E51">
        <v>43.589199999999998</v>
      </c>
      <c r="F51">
        <v>17557.988000000001</v>
      </c>
      <c r="G51">
        <v>58.506</v>
      </c>
    </row>
    <row r="52" spans="1:7" x14ac:dyDescent="0.15">
      <c r="A52" s="74" t="s">
        <v>66</v>
      </c>
      <c r="B52" s="54">
        <v>967.88080000000002</v>
      </c>
      <c r="C52">
        <v>31.400400000000001</v>
      </c>
      <c r="D52">
        <v>43.447299999999998</v>
      </c>
      <c r="E52">
        <v>42.3703</v>
      </c>
      <c r="F52">
        <v>16178.968000000001</v>
      </c>
      <c r="G52">
        <v>55.152999999999999</v>
      </c>
    </row>
    <row r="53" spans="1:7" x14ac:dyDescent="0.15">
      <c r="A53" s="74" t="s">
        <v>67</v>
      </c>
      <c r="B53" s="54">
        <v>17805.6456</v>
      </c>
      <c r="C53">
        <v>36.594200000000001</v>
      </c>
      <c r="D53">
        <v>42.827199999999998</v>
      </c>
      <c r="E53">
        <v>42.444400000000002</v>
      </c>
      <c r="F53">
        <v>25444.393</v>
      </c>
      <c r="G53">
        <v>80.585999999999999</v>
      </c>
    </row>
    <row r="54" spans="1:7" x14ac:dyDescent="0.15">
      <c r="A54" s="74" t="s">
        <v>68</v>
      </c>
      <c r="B54" s="54">
        <v>7140.5576000000001</v>
      </c>
      <c r="C54">
        <v>33.334299999999999</v>
      </c>
      <c r="D54">
        <v>40.774999999999999</v>
      </c>
      <c r="E54">
        <v>40.471299999999999</v>
      </c>
      <c r="F54">
        <v>20065.737000000001</v>
      </c>
      <c r="G54">
        <v>66.778000000000006</v>
      </c>
    </row>
    <row r="55" spans="1:7" x14ac:dyDescent="0.15">
      <c r="A55" s="74" t="s">
        <v>39</v>
      </c>
      <c r="B55" s="54">
        <v>3165.5095999999999</v>
      </c>
      <c r="C55">
        <v>30.059000000000001</v>
      </c>
      <c r="D55">
        <v>39.2911</v>
      </c>
      <c r="E55">
        <v>38.985500000000002</v>
      </c>
      <c r="F55">
        <v>17043.374</v>
      </c>
      <c r="G55">
        <v>59.697000000000003</v>
      </c>
    </row>
    <row r="56" spans="1:7" x14ac:dyDescent="0.15">
      <c r="A56" s="74" t="s">
        <v>69</v>
      </c>
      <c r="B56" s="54">
        <v>1505.8432</v>
      </c>
      <c r="C56">
        <v>26.700800000000001</v>
      </c>
      <c r="D56">
        <v>38.173499999999997</v>
      </c>
      <c r="E56">
        <v>37.839300000000001</v>
      </c>
      <c r="F56">
        <v>15400.659</v>
      </c>
      <c r="G56">
        <v>55.005000000000003</v>
      </c>
    </row>
    <row r="57" spans="1:7" x14ac:dyDescent="0.15">
      <c r="A57" s="74" t="s">
        <v>52</v>
      </c>
      <c r="B57" s="54">
        <v>15987.6576</v>
      </c>
      <c r="C57">
        <v>36.108499999999999</v>
      </c>
      <c r="D57">
        <v>44.691600000000001</v>
      </c>
      <c r="E57">
        <v>45.419699999999999</v>
      </c>
      <c r="F57">
        <v>30684.918000000001</v>
      </c>
      <c r="G57">
        <v>87.736000000000004</v>
      </c>
    </row>
    <row r="58" spans="1:7" x14ac:dyDescent="0.15">
      <c r="A58" s="74" t="s">
        <v>53</v>
      </c>
      <c r="B58" s="54">
        <v>5909.9704000000002</v>
      </c>
      <c r="C58">
        <v>33.332299999999996</v>
      </c>
      <c r="D58">
        <v>42.618499999999997</v>
      </c>
      <c r="E58">
        <v>43.811</v>
      </c>
      <c r="F58">
        <v>21660.174999999999</v>
      </c>
      <c r="G58">
        <v>68.313000000000002</v>
      </c>
    </row>
    <row r="59" spans="1:7" x14ac:dyDescent="0.15">
      <c r="A59" s="74" t="s">
        <v>34</v>
      </c>
      <c r="B59" s="54">
        <v>2427.7840000000001</v>
      </c>
      <c r="C59">
        <v>30.8064</v>
      </c>
      <c r="D59">
        <v>41.092100000000002</v>
      </c>
      <c r="E59">
        <v>42.7986</v>
      </c>
      <c r="F59">
        <v>17673.698</v>
      </c>
      <c r="G59">
        <v>59.619</v>
      </c>
    </row>
    <row r="60" spans="1:7" x14ac:dyDescent="0.15">
      <c r="A60" s="74" t="s">
        <v>54</v>
      </c>
      <c r="B60" s="54">
        <v>978.87199999999996</v>
      </c>
      <c r="C60">
        <v>28.2912</v>
      </c>
      <c r="D60">
        <v>39.856200000000001</v>
      </c>
      <c r="E60">
        <v>41.797400000000003</v>
      </c>
      <c r="F60">
        <v>15534.986000000001</v>
      </c>
      <c r="G60">
        <v>53.512999999999998</v>
      </c>
    </row>
    <row r="61" spans="1:7" x14ac:dyDescent="0.15">
      <c r="A61" s="74" t="s">
        <v>55</v>
      </c>
      <c r="B61" s="54">
        <v>53999.968000000001</v>
      </c>
      <c r="C61">
        <v>35.781599999999997</v>
      </c>
      <c r="D61">
        <v>44.176600000000001</v>
      </c>
      <c r="E61">
        <v>44.660400000000003</v>
      </c>
      <c r="F61">
        <v>37125.237000000001</v>
      </c>
      <c r="G61">
        <v>109.524</v>
      </c>
    </row>
    <row r="62" spans="1:7" x14ac:dyDescent="0.15">
      <c r="A62" s="74" t="s">
        <v>56</v>
      </c>
      <c r="B62" s="54">
        <v>20602.883999999998</v>
      </c>
      <c r="C62">
        <v>32.078499999999998</v>
      </c>
      <c r="D62">
        <v>42.267899999999997</v>
      </c>
      <c r="E62">
        <v>43.119700000000002</v>
      </c>
      <c r="F62">
        <v>27300.898000000001</v>
      </c>
      <c r="G62">
        <v>83.262</v>
      </c>
    </row>
    <row r="63" spans="1:7" x14ac:dyDescent="0.15">
      <c r="A63" s="74" t="s">
        <v>35</v>
      </c>
      <c r="B63" s="54">
        <v>4832.5280000000002</v>
      </c>
      <c r="C63">
        <v>28.8476</v>
      </c>
      <c r="D63">
        <v>40.9878</v>
      </c>
      <c r="E63">
        <v>42.056199999999997</v>
      </c>
      <c r="F63">
        <v>19150.63</v>
      </c>
      <c r="G63">
        <v>64.093000000000004</v>
      </c>
    </row>
    <row r="64" spans="1:7" x14ac:dyDescent="0.15">
      <c r="A64" s="74" t="s">
        <v>57</v>
      </c>
      <c r="B64" s="54">
        <v>1322.904</v>
      </c>
      <c r="C64">
        <v>25.866499999999998</v>
      </c>
      <c r="D64">
        <v>40.0045</v>
      </c>
      <c r="E64">
        <v>41.196899999999999</v>
      </c>
      <c r="F64">
        <v>15169.424999999999</v>
      </c>
      <c r="G64">
        <v>54.279000000000003</v>
      </c>
    </row>
    <row r="65" spans="1:7" x14ac:dyDescent="0.15">
      <c r="A65" s="74" t="s">
        <v>76</v>
      </c>
      <c r="B65" s="54">
        <v>10241.456</v>
      </c>
      <c r="C65">
        <v>34.2029</v>
      </c>
      <c r="D65">
        <v>41.291600000000003</v>
      </c>
      <c r="E65">
        <v>42.590499999999999</v>
      </c>
      <c r="F65">
        <v>8990.8809999999994</v>
      </c>
      <c r="G65">
        <v>26.114999999999998</v>
      </c>
    </row>
    <row r="66" spans="1:7" x14ac:dyDescent="0.15">
      <c r="A66" s="74" t="s">
        <v>77</v>
      </c>
      <c r="B66" s="54">
        <v>4770.7191999999995</v>
      </c>
      <c r="C66">
        <v>30.652699999999999</v>
      </c>
      <c r="D66">
        <v>39.405000000000001</v>
      </c>
      <c r="E66">
        <v>41.007300000000001</v>
      </c>
      <c r="F66">
        <v>6740.9080000000004</v>
      </c>
      <c r="G66">
        <v>21.126000000000001</v>
      </c>
    </row>
    <row r="67" spans="1:7" x14ac:dyDescent="0.15">
      <c r="A67" s="74" t="s">
        <v>42</v>
      </c>
      <c r="B67" s="54">
        <v>1913.3088</v>
      </c>
      <c r="C67">
        <v>27.386700000000001</v>
      </c>
      <c r="D67">
        <v>38.068600000000004</v>
      </c>
      <c r="E67">
        <v>39.820399999999999</v>
      </c>
      <c r="F67">
        <v>5295.7280000000001</v>
      </c>
      <c r="G67">
        <v>17.884</v>
      </c>
    </row>
    <row r="68" spans="1:7" x14ac:dyDescent="0.15">
      <c r="A68" s="74" t="s">
        <v>78</v>
      </c>
      <c r="B68" s="54">
        <v>715.08399999999995</v>
      </c>
      <c r="C68">
        <v>24.3949</v>
      </c>
      <c r="D68">
        <v>37.061599999999999</v>
      </c>
      <c r="E68">
        <v>38.847999999999999</v>
      </c>
      <c r="F68">
        <v>4323.75</v>
      </c>
      <c r="G68">
        <v>15.337999999999999</v>
      </c>
    </row>
    <row r="69" spans="1:7" x14ac:dyDescent="0.15">
      <c r="A69" s="74" t="s">
        <v>79</v>
      </c>
      <c r="B69" s="54">
        <v>6838.5944</v>
      </c>
      <c r="C69">
        <v>37.456499999999998</v>
      </c>
      <c r="D69">
        <v>44.389200000000002</v>
      </c>
      <c r="E69">
        <v>46.617699999999999</v>
      </c>
      <c r="F69">
        <v>7296.0640000000003</v>
      </c>
      <c r="G69">
        <v>23.588000000000001</v>
      </c>
    </row>
    <row r="70" spans="1:7" x14ac:dyDescent="0.15">
      <c r="A70" s="74" t="s">
        <v>80</v>
      </c>
      <c r="B70" s="54">
        <v>3457.2456000000002</v>
      </c>
      <c r="C70">
        <v>34.402700000000003</v>
      </c>
      <c r="D70">
        <v>42.422499999999999</v>
      </c>
      <c r="E70">
        <v>44.831600000000002</v>
      </c>
      <c r="F70">
        <v>6060.6840000000002</v>
      </c>
      <c r="G70">
        <v>19.806000000000001</v>
      </c>
    </row>
    <row r="71" spans="1:7" x14ac:dyDescent="0.15">
      <c r="A71" s="74" t="s">
        <v>43</v>
      </c>
      <c r="B71" s="54">
        <v>1636.5496000000001</v>
      </c>
      <c r="C71">
        <v>31.255700000000001</v>
      </c>
      <c r="D71">
        <v>40.913899999999998</v>
      </c>
      <c r="E71">
        <v>43.317</v>
      </c>
      <c r="F71">
        <v>5124.7749999999996</v>
      </c>
      <c r="G71">
        <v>17.361999999999998</v>
      </c>
    </row>
    <row r="72" spans="1:7" x14ac:dyDescent="0.15">
      <c r="A72" s="74" t="s">
        <v>81</v>
      </c>
      <c r="B72" s="54">
        <v>778.53120000000001</v>
      </c>
      <c r="C72">
        <v>28.079899999999999</v>
      </c>
      <c r="D72">
        <v>39.784100000000002</v>
      </c>
      <c r="E72">
        <v>42.067700000000002</v>
      </c>
      <c r="F72">
        <v>4489.6189999999997</v>
      </c>
      <c r="G72">
        <v>15.496</v>
      </c>
    </row>
    <row r="73" spans="1:7" x14ac:dyDescent="0.15">
      <c r="A73" s="74" t="s">
        <v>73</v>
      </c>
      <c r="B73" s="54">
        <v>3418.8416000000002</v>
      </c>
      <c r="C73">
        <v>34.521099999999997</v>
      </c>
      <c r="D73">
        <v>41.569400000000002</v>
      </c>
      <c r="E73">
        <v>42.052100000000003</v>
      </c>
      <c r="F73">
        <v>5547.64</v>
      </c>
      <c r="G73">
        <v>16.984000000000002</v>
      </c>
    </row>
    <row r="74" spans="1:7" x14ac:dyDescent="0.15">
      <c r="A74" s="74" t="s">
        <v>74</v>
      </c>
      <c r="B74" s="54">
        <v>1699.4304</v>
      </c>
      <c r="C74">
        <v>31.012499999999999</v>
      </c>
      <c r="D74">
        <v>39.745600000000003</v>
      </c>
      <c r="E74">
        <v>40.355899999999998</v>
      </c>
      <c r="F74">
        <v>4285.5230000000001</v>
      </c>
      <c r="G74">
        <v>15.11</v>
      </c>
    </row>
    <row r="75" spans="1:7" x14ac:dyDescent="0.15">
      <c r="A75" s="74" t="s">
        <v>41</v>
      </c>
      <c r="B75" s="54">
        <v>821.3528</v>
      </c>
      <c r="C75">
        <v>27.5427</v>
      </c>
      <c r="D75">
        <v>38.4542</v>
      </c>
      <c r="E75">
        <v>39.206600000000002</v>
      </c>
      <c r="F75">
        <v>3751.4450000000002</v>
      </c>
      <c r="G75">
        <v>13.872999999999999</v>
      </c>
    </row>
    <row r="76" spans="1:7" x14ac:dyDescent="0.15">
      <c r="A76" s="74" t="s">
        <v>75</v>
      </c>
      <c r="B76" s="54">
        <v>366.36160000000001</v>
      </c>
      <c r="C76">
        <v>24.2255</v>
      </c>
      <c r="D76">
        <v>37.562100000000001</v>
      </c>
      <c r="E76">
        <v>38.396599999999999</v>
      </c>
      <c r="F76">
        <v>3471.337</v>
      </c>
      <c r="G76">
        <v>12.786</v>
      </c>
    </row>
    <row r="77" spans="1:7" x14ac:dyDescent="0.15">
      <c r="A77" s="74" t="s">
        <v>70</v>
      </c>
      <c r="B77" s="54">
        <v>7575.7543999999998</v>
      </c>
      <c r="C77">
        <v>35.411099999999998</v>
      </c>
      <c r="D77">
        <v>42.469099999999997</v>
      </c>
      <c r="E77">
        <v>44.154800000000002</v>
      </c>
      <c r="F77">
        <v>8507.4159999999993</v>
      </c>
      <c r="G77">
        <v>25.027999999999999</v>
      </c>
    </row>
    <row r="78" spans="1:7" x14ac:dyDescent="0.15">
      <c r="A78" s="74" t="s">
        <v>71</v>
      </c>
      <c r="B78" s="54">
        <v>3305.3631999999998</v>
      </c>
      <c r="C78">
        <v>32.103900000000003</v>
      </c>
      <c r="D78">
        <v>40.481699999999996</v>
      </c>
      <c r="E78">
        <v>42.117400000000004</v>
      </c>
      <c r="F78">
        <v>6363.7950000000001</v>
      </c>
      <c r="G78">
        <v>20.14</v>
      </c>
    </row>
    <row r="79" spans="1:7" x14ac:dyDescent="0.15">
      <c r="A79" s="74" t="s">
        <v>40</v>
      </c>
      <c r="B79" s="54">
        <v>1314.5056</v>
      </c>
      <c r="C79">
        <v>28.995100000000001</v>
      </c>
      <c r="D79">
        <v>38.954599999999999</v>
      </c>
      <c r="E79">
        <v>40.6693</v>
      </c>
      <c r="F79">
        <v>5089.076</v>
      </c>
      <c r="G79">
        <v>17.027000000000001</v>
      </c>
    </row>
    <row r="80" spans="1:7" x14ac:dyDescent="0.15">
      <c r="A80" s="74" t="s">
        <v>72</v>
      </c>
      <c r="B80" s="54">
        <v>468.1</v>
      </c>
      <c r="C80">
        <v>26.0763</v>
      </c>
      <c r="D80">
        <v>37.6905</v>
      </c>
      <c r="E80">
        <v>39.461300000000001</v>
      </c>
      <c r="F80">
        <v>4208.8879999999999</v>
      </c>
      <c r="G80">
        <v>15.173999999999999</v>
      </c>
    </row>
    <row r="81" spans="1:1" x14ac:dyDescent="0.15">
      <c r="A81" s="74"/>
    </row>
    <row r="82" spans="1:1" x14ac:dyDescent="0.15">
      <c r="A82" s="74"/>
    </row>
    <row r="83" spans="1:1" x14ac:dyDescent="0.15">
      <c r="A83" s="74"/>
    </row>
    <row r="84" spans="1:1" x14ac:dyDescent="0.15">
      <c r="A84" s="74"/>
    </row>
    <row r="85" spans="1:1" x14ac:dyDescent="0.15">
      <c r="A85" s="74"/>
    </row>
    <row r="86" spans="1:1" x14ac:dyDescent="0.15">
      <c r="A86" s="74"/>
    </row>
    <row r="87" spans="1:1" x14ac:dyDescent="0.15">
      <c r="A87" s="74"/>
    </row>
    <row r="88" spans="1:1" x14ac:dyDescent="0.15">
      <c r="A88" s="74"/>
    </row>
    <row r="89" spans="1:1" x14ac:dyDescent="0.15">
      <c r="A89" s="74"/>
    </row>
    <row r="90" spans="1:1" x14ac:dyDescent="0.15">
      <c r="A90" s="74"/>
    </row>
    <row r="91" spans="1:1" x14ac:dyDescent="0.15">
      <c r="A91" s="74"/>
    </row>
    <row r="92" spans="1:1" x14ac:dyDescent="0.15">
      <c r="A92" s="74"/>
    </row>
    <row r="93" spans="1:1" x14ac:dyDescent="0.15">
      <c r="A93" s="74"/>
    </row>
    <row r="94" spans="1:1" x14ac:dyDescent="0.15">
      <c r="A94" s="74"/>
    </row>
    <row r="95" spans="1:1" x14ac:dyDescent="0.15">
      <c r="A95" s="74"/>
    </row>
    <row r="96" spans="1:1" x14ac:dyDescent="0.15">
      <c r="A96" s="74"/>
    </row>
    <row r="97" spans="1:1" x14ac:dyDescent="0.15">
      <c r="A97" s="74"/>
    </row>
    <row r="98" spans="1:1" x14ac:dyDescent="0.15">
      <c r="A98" s="74"/>
    </row>
    <row r="99" spans="1:1" x14ac:dyDescent="0.15">
      <c r="A99" s="74"/>
    </row>
    <row r="100" spans="1:1" x14ac:dyDescent="0.15">
      <c r="A100" s="74"/>
    </row>
    <row r="101" spans="1:1" x14ac:dyDescent="0.15">
      <c r="A101" s="74"/>
    </row>
    <row r="102" spans="1:1" x14ac:dyDescent="0.15">
      <c r="A102" s="74"/>
    </row>
    <row r="103" spans="1:1" x14ac:dyDescent="0.15">
      <c r="A103" s="74"/>
    </row>
    <row r="104" spans="1:1" x14ac:dyDescent="0.15">
      <c r="A104" s="74"/>
    </row>
    <row r="105" spans="1:1" x14ac:dyDescent="0.15">
      <c r="A105" s="74"/>
    </row>
    <row r="106" spans="1:1" x14ac:dyDescent="0.15">
      <c r="A106" s="74"/>
    </row>
    <row r="107" spans="1:1" x14ac:dyDescent="0.15">
      <c r="A107" s="74"/>
    </row>
    <row r="108" spans="1:1" x14ac:dyDescent="0.15">
      <c r="A108" s="74"/>
    </row>
    <row r="109" spans="1:1" x14ac:dyDescent="0.15">
      <c r="A109" s="74"/>
    </row>
    <row r="110" spans="1:1" x14ac:dyDescent="0.15">
      <c r="A110" s="74"/>
    </row>
    <row r="111" spans="1:1" x14ac:dyDescent="0.15">
      <c r="A111" s="74"/>
    </row>
    <row r="112" spans="1:1" x14ac:dyDescent="0.15">
      <c r="A112" s="74"/>
    </row>
    <row r="113" spans="1:1" x14ac:dyDescent="0.15">
      <c r="A113" s="74"/>
    </row>
    <row r="114" spans="1:1" x14ac:dyDescent="0.15">
      <c r="A114" s="74"/>
    </row>
    <row r="115" spans="1:1" x14ac:dyDescent="0.15">
      <c r="A115" s="74"/>
    </row>
    <row r="116" spans="1:1" x14ac:dyDescent="0.15">
      <c r="A116" s="74"/>
    </row>
    <row r="117" spans="1:1" x14ac:dyDescent="0.15">
      <c r="A117" s="74"/>
    </row>
    <row r="118" spans="1:1" x14ac:dyDescent="0.15">
      <c r="A118" s="74"/>
    </row>
    <row r="119" spans="1:1" x14ac:dyDescent="0.15">
      <c r="A119" s="74"/>
    </row>
    <row r="120" spans="1:1" x14ac:dyDescent="0.15">
      <c r="A120" s="74"/>
    </row>
    <row r="121" spans="1:1" x14ac:dyDescent="0.15">
      <c r="A121" s="74"/>
    </row>
    <row r="122" spans="1:1" x14ac:dyDescent="0.15">
      <c r="A122" s="74"/>
    </row>
    <row r="123" spans="1:1" x14ac:dyDescent="0.15">
      <c r="A123" s="74"/>
    </row>
    <row r="124" spans="1:1" x14ac:dyDescent="0.15">
      <c r="A124" s="74"/>
    </row>
    <row r="125" spans="1:1" x14ac:dyDescent="0.15">
      <c r="A125" s="74"/>
    </row>
    <row r="126" spans="1:1" x14ac:dyDescent="0.15">
      <c r="A126" s="74"/>
    </row>
    <row r="127" spans="1:1" x14ac:dyDescent="0.15">
      <c r="A127" s="74"/>
    </row>
    <row r="128" spans="1:1" x14ac:dyDescent="0.15">
      <c r="A128" s="74"/>
    </row>
    <row r="129" spans="1:1" x14ac:dyDescent="0.15">
      <c r="A129" s="74"/>
    </row>
    <row r="130" spans="1:1" x14ac:dyDescent="0.15">
      <c r="A130" s="74"/>
    </row>
    <row r="131" spans="1:1" x14ac:dyDescent="0.15">
      <c r="A131" s="74"/>
    </row>
    <row r="132" spans="1:1" x14ac:dyDescent="0.15">
      <c r="A132" s="74"/>
    </row>
    <row r="133" spans="1:1" x14ac:dyDescent="0.15">
      <c r="A133" s="74"/>
    </row>
    <row r="134" spans="1:1" x14ac:dyDescent="0.15">
      <c r="A134" s="74"/>
    </row>
    <row r="135" spans="1:1" x14ac:dyDescent="0.15">
      <c r="A135" s="74"/>
    </row>
    <row r="136" spans="1:1" x14ac:dyDescent="0.15">
      <c r="A136" s="74"/>
    </row>
    <row r="137" spans="1:1" x14ac:dyDescent="0.15">
      <c r="A137" s="74"/>
    </row>
    <row r="138" spans="1:1" x14ac:dyDescent="0.15">
      <c r="A138" s="74"/>
    </row>
    <row r="139" spans="1:1" x14ac:dyDescent="0.15">
      <c r="A139" s="74"/>
    </row>
    <row r="140" spans="1:1" x14ac:dyDescent="0.15">
      <c r="A140" s="74"/>
    </row>
    <row r="141" spans="1:1" x14ac:dyDescent="0.15">
      <c r="A141" s="74"/>
    </row>
    <row r="142" spans="1:1" x14ac:dyDescent="0.15">
      <c r="A142" s="74"/>
    </row>
    <row r="143" spans="1:1" x14ac:dyDescent="0.15">
      <c r="A143" s="74"/>
    </row>
    <row r="144" spans="1:1" x14ac:dyDescent="0.15">
      <c r="A144" s="74"/>
    </row>
    <row r="145" spans="1:1" x14ac:dyDescent="0.15">
      <c r="A145" s="74"/>
    </row>
    <row r="146" spans="1:1" x14ac:dyDescent="0.15">
      <c r="A146" s="74"/>
    </row>
    <row r="147" spans="1:1" x14ac:dyDescent="0.15">
      <c r="A147" s="74"/>
    </row>
    <row r="148" spans="1:1" x14ac:dyDescent="0.15">
      <c r="A148" s="74"/>
    </row>
    <row r="149" spans="1:1" x14ac:dyDescent="0.15">
      <c r="A149" s="74"/>
    </row>
    <row r="150" spans="1:1" x14ac:dyDescent="0.15">
      <c r="A150" s="74"/>
    </row>
    <row r="151" spans="1:1" x14ac:dyDescent="0.15">
      <c r="A151" s="74"/>
    </row>
    <row r="152" spans="1:1" x14ac:dyDescent="0.15">
      <c r="A152" s="74"/>
    </row>
    <row r="153" spans="1:1" x14ac:dyDescent="0.15">
      <c r="A153" s="74"/>
    </row>
    <row r="154" spans="1:1" x14ac:dyDescent="0.15">
      <c r="A154" s="74"/>
    </row>
    <row r="155" spans="1:1" x14ac:dyDescent="0.15">
      <c r="A155" s="74"/>
    </row>
    <row r="156" spans="1:1" x14ac:dyDescent="0.15">
      <c r="A156" s="74"/>
    </row>
    <row r="157" spans="1:1" x14ac:dyDescent="0.15">
      <c r="A157" s="74"/>
    </row>
    <row r="158" spans="1:1" x14ac:dyDescent="0.15">
      <c r="A158" s="74"/>
    </row>
    <row r="159" spans="1:1" x14ac:dyDescent="0.15">
      <c r="A159" s="74"/>
    </row>
    <row r="160" spans="1:1" x14ac:dyDescent="0.15">
      <c r="A160" s="74"/>
    </row>
    <row r="161" spans="1:1" x14ac:dyDescent="0.15">
      <c r="A161" s="74"/>
    </row>
    <row r="162" spans="1:1" x14ac:dyDescent="0.15">
      <c r="A162" s="74"/>
    </row>
    <row r="163" spans="1:1" x14ac:dyDescent="0.15">
      <c r="A163" s="74"/>
    </row>
    <row r="164" spans="1:1" x14ac:dyDescent="0.15">
      <c r="A164" s="74"/>
    </row>
    <row r="165" spans="1:1" x14ac:dyDescent="0.15">
      <c r="A165" s="74"/>
    </row>
    <row r="166" spans="1:1" x14ac:dyDescent="0.15">
      <c r="A166" s="74"/>
    </row>
    <row r="167" spans="1:1" x14ac:dyDescent="0.15">
      <c r="A167" s="74"/>
    </row>
    <row r="168" spans="1:1" x14ac:dyDescent="0.15">
      <c r="A168" s="74"/>
    </row>
    <row r="169" spans="1:1" x14ac:dyDescent="0.15">
      <c r="A169" s="74"/>
    </row>
    <row r="170" spans="1:1" x14ac:dyDescent="0.15">
      <c r="A170" s="74"/>
    </row>
    <row r="171" spans="1:1" x14ac:dyDescent="0.15">
      <c r="A171" s="74"/>
    </row>
    <row r="172" spans="1:1" x14ac:dyDescent="0.15">
      <c r="A172" s="74"/>
    </row>
    <row r="173" spans="1:1" x14ac:dyDescent="0.15">
      <c r="A173" s="74"/>
    </row>
    <row r="174" spans="1:1" x14ac:dyDescent="0.15">
      <c r="A174" s="74"/>
    </row>
    <row r="175" spans="1:1" x14ac:dyDescent="0.15">
      <c r="A175" s="74"/>
    </row>
    <row r="176" spans="1:1" x14ac:dyDescent="0.15">
      <c r="A176" s="74"/>
    </row>
    <row r="177" spans="1:7" x14ac:dyDescent="0.15">
      <c r="A177" s="74"/>
      <c r="C177" s="53"/>
      <c r="D177" s="53"/>
      <c r="E177" s="53"/>
      <c r="F177" s="53"/>
      <c r="G177" s="53"/>
    </row>
    <row r="178" spans="1:7" x14ac:dyDescent="0.15">
      <c r="A178" s="74"/>
      <c r="C178" s="53"/>
      <c r="D178" s="53"/>
      <c r="E178" s="53"/>
      <c r="F178" s="53"/>
      <c r="G178" s="53"/>
    </row>
    <row r="179" spans="1:7" x14ac:dyDescent="0.15">
      <c r="A179" s="74"/>
      <c r="C179" s="53"/>
      <c r="D179" s="53"/>
      <c r="E179" s="53"/>
      <c r="F179" s="53"/>
      <c r="G179" s="53"/>
    </row>
    <row r="180" spans="1:7" x14ac:dyDescent="0.15">
      <c r="A180" s="74"/>
      <c r="C180" s="53"/>
      <c r="D180" s="53"/>
      <c r="E180" s="53"/>
      <c r="F180" s="53"/>
      <c r="G180" s="53"/>
    </row>
    <row r="181" spans="1:7" x14ac:dyDescent="0.15">
      <c r="A181" s="74"/>
      <c r="C181" s="53"/>
      <c r="D181" s="53"/>
      <c r="E181" s="53"/>
      <c r="F181" s="53"/>
      <c r="G181" s="53"/>
    </row>
    <row r="182" spans="1:7" x14ac:dyDescent="0.15">
      <c r="A182" s="74"/>
      <c r="C182" s="53"/>
      <c r="D182" s="53"/>
      <c r="E182" s="53"/>
      <c r="F182" s="53"/>
      <c r="G182" s="53"/>
    </row>
    <row r="183" spans="1:7" x14ac:dyDescent="0.15">
      <c r="A183" s="74"/>
      <c r="C183" s="53"/>
      <c r="D183" s="53"/>
      <c r="E183" s="53"/>
      <c r="F183" s="53"/>
      <c r="G183" s="53"/>
    </row>
    <row r="184" spans="1:7" x14ac:dyDescent="0.15">
      <c r="A184" s="74"/>
      <c r="C184" s="53"/>
      <c r="D184" s="53"/>
      <c r="E184" s="53"/>
      <c r="F184" s="53"/>
      <c r="G184" s="53"/>
    </row>
    <row r="185" spans="1:7" x14ac:dyDescent="0.15">
      <c r="A185" s="74"/>
      <c r="C185" s="53"/>
      <c r="D185" s="53"/>
      <c r="E185" s="53"/>
      <c r="F185" s="53"/>
      <c r="G185" s="53"/>
    </row>
    <row r="186" spans="1:7" x14ac:dyDescent="0.15">
      <c r="A186" s="74"/>
      <c r="C186" s="53"/>
      <c r="D186" s="53"/>
      <c r="E186" s="53"/>
      <c r="F186" s="53"/>
      <c r="G186" s="53"/>
    </row>
    <row r="187" spans="1:7" x14ac:dyDescent="0.15">
      <c r="A187" s="74"/>
      <c r="C187" s="53"/>
      <c r="D187" s="53"/>
      <c r="E187" s="53"/>
      <c r="F187" s="53"/>
      <c r="G187" s="53"/>
    </row>
    <row r="188" spans="1:7" x14ac:dyDescent="0.15">
      <c r="A188" s="74"/>
      <c r="C188" s="53"/>
      <c r="D188" s="53"/>
      <c r="E188" s="53"/>
      <c r="F188" s="53"/>
      <c r="G188" s="53"/>
    </row>
    <row r="189" spans="1:7" x14ac:dyDescent="0.15">
      <c r="A189" s="74"/>
      <c r="C189" s="53"/>
      <c r="D189" s="53"/>
      <c r="E189" s="53"/>
      <c r="F189" s="53"/>
      <c r="G189" s="53"/>
    </row>
    <row r="190" spans="1:7" x14ac:dyDescent="0.15">
      <c r="A190" s="74"/>
      <c r="C190" s="53"/>
      <c r="D190" s="53"/>
      <c r="E190" s="53"/>
      <c r="F190" s="53"/>
      <c r="G190" s="53"/>
    </row>
    <row r="191" spans="1:7" x14ac:dyDescent="0.15">
      <c r="A191" s="74"/>
      <c r="C191" s="53"/>
      <c r="D191" s="53"/>
      <c r="E191" s="53"/>
      <c r="F191" s="53"/>
      <c r="G191" s="53"/>
    </row>
    <row r="192" spans="1:7" x14ac:dyDescent="0.15">
      <c r="A192" s="74"/>
      <c r="C192" s="53"/>
      <c r="D192" s="53"/>
      <c r="E192" s="53"/>
      <c r="F192" s="53"/>
      <c r="G192" s="53"/>
    </row>
    <row r="193" spans="1:7" x14ac:dyDescent="0.15">
      <c r="A193" s="74"/>
      <c r="C193" s="53"/>
      <c r="D193" s="53"/>
      <c r="E193" s="53"/>
      <c r="F193" s="53"/>
      <c r="G193" s="53"/>
    </row>
    <row r="194" spans="1:7" x14ac:dyDescent="0.15">
      <c r="A194" s="74"/>
      <c r="C194" s="53"/>
      <c r="D194" s="53"/>
      <c r="E194" s="53"/>
      <c r="F194" s="53"/>
      <c r="G194" s="53"/>
    </row>
    <row r="195" spans="1:7" x14ac:dyDescent="0.15">
      <c r="A195" s="74"/>
      <c r="C195" s="53"/>
      <c r="D195" s="53"/>
      <c r="E195" s="53"/>
      <c r="F195" s="53"/>
      <c r="G195" s="53"/>
    </row>
    <row r="196" spans="1:7" x14ac:dyDescent="0.15">
      <c r="A196" s="74"/>
      <c r="C196" s="53"/>
      <c r="D196" s="53"/>
      <c r="E196" s="53"/>
      <c r="F196" s="53"/>
      <c r="G196" s="53"/>
    </row>
    <row r="197" spans="1:7" x14ac:dyDescent="0.15">
      <c r="A197" s="74"/>
      <c r="C197" s="53"/>
      <c r="D197" s="53"/>
      <c r="E197" s="53"/>
      <c r="F197" s="53"/>
      <c r="G197" s="53"/>
    </row>
    <row r="198" spans="1:7" x14ac:dyDescent="0.15">
      <c r="A198" s="74"/>
      <c r="C198" s="53"/>
      <c r="D198" s="53"/>
      <c r="E198" s="53"/>
      <c r="F198" s="53"/>
      <c r="G198" s="53"/>
    </row>
    <row r="199" spans="1:7" x14ac:dyDescent="0.15">
      <c r="A199" s="74"/>
      <c r="C199" s="53"/>
      <c r="D199" s="53"/>
      <c r="E199" s="53"/>
      <c r="F199" s="53"/>
      <c r="G199" s="53"/>
    </row>
    <row r="200" spans="1:7" x14ac:dyDescent="0.15">
      <c r="A200" s="74"/>
      <c r="C200" s="53"/>
      <c r="D200" s="53"/>
      <c r="E200" s="53"/>
      <c r="F200" s="53"/>
      <c r="G200" s="53"/>
    </row>
    <row r="201" spans="1:7" x14ac:dyDescent="0.15">
      <c r="A201" s="74"/>
      <c r="C201" s="53"/>
      <c r="D201" s="53"/>
      <c r="E201" s="53"/>
      <c r="F201" s="53"/>
      <c r="G201" s="53"/>
    </row>
    <row r="202" spans="1:7" x14ac:dyDescent="0.15">
      <c r="A202" s="74"/>
      <c r="C202" s="53"/>
      <c r="D202" s="53"/>
      <c r="E202" s="53"/>
      <c r="F202" s="53"/>
      <c r="G202" s="53"/>
    </row>
    <row r="203" spans="1:7" x14ac:dyDescent="0.15">
      <c r="A203" s="74"/>
      <c r="C203" s="53"/>
      <c r="D203" s="53"/>
      <c r="E203" s="53"/>
      <c r="F203" s="53"/>
      <c r="G203" s="53"/>
    </row>
    <row r="204" spans="1:7" x14ac:dyDescent="0.15">
      <c r="A204" s="74"/>
      <c r="C204" s="53"/>
      <c r="D204" s="53"/>
      <c r="E204" s="53"/>
      <c r="F204" s="53"/>
      <c r="G204" s="53"/>
    </row>
    <row r="205" spans="1:7" x14ac:dyDescent="0.15">
      <c r="A205" s="74"/>
      <c r="C205" s="53"/>
      <c r="D205" s="53"/>
      <c r="E205" s="53"/>
      <c r="F205" s="53"/>
      <c r="G205" s="53"/>
    </row>
    <row r="206" spans="1:7" x14ac:dyDescent="0.15">
      <c r="A206" s="74"/>
      <c r="C206" s="53"/>
      <c r="D206" s="53"/>
      <c r="E206" s="53"/>
      <c r="F206" s="53"/>
      <c r="G206" s="53"/>
    </row>
    <row r="207" spans="1:7" x14ac:dyDescent="0.15">
      <c r="A207" s="74"/>
      <c r="C207" s="53"/>
      <c r="D207" s="53"/>
      <c r="E207" s="53"/>
      <c r="F207" s="53"/>
      <c r="G207" s="53"/>
    </row>
    <row r="208" spans="1:7" x14ac:dyDescent="0.15">
      <c r="A208" s="74"/>
      <c r="C208" s="53"/>
      <c r="D208" s="53"/>
      <c r="E208" s="53"/>
      <c r="F208" s="53"/>
      <c r="G208" s="53"/>
    </row>
    <row r="209" spans="1:7" x14ac:dyDescent="0.15">
      <c r="A209" s="74"/>
      <c r="C209" s="53"/>
      <c r="D209" s="53"/>
      <c r="E209" s="53"/>
      <c r="F209" s="53"/>
      <c r="G209" s="53"/>
    </row>
    <row r="210" spans="1:7" x14ac:dyDescent="0.15">
      <c r="A210" s="74"/>
      <c r="C210" s="53"/>
      <c r="D210" s="53"/>
      <c r="E210" s="53"/>
      <c r="F210" s="53"/>
      <c r="G210" s="53"/>
    </row>
    <row r="211" spans="1:7" x14ac:dyDescent="0.15">
      <c r="A211" s="74"/>
      <c r="C211" s="53"/>
      <c r="D211" s="53"/>
      <c r="E211" s="53"/>
      <c r="F211" s="53"/>
      <c r="G211" s="53"/>
    </row>
    <row r="212" spans="1:7" x14ac:dyDescent="0.15">
      <c r="A212" s="74"/>
      <c r="C212" s="53"/>
      <c r="D212" s="53"/>
      <c r="E212" s="53"/>
      <c r="F212" s="53"/>
      <c r="G212" s="53"/>
    </row>
    <row r="213" spans="1:7" x14ac:dyDescent="0.15">
      <c r="A213" s="74"/>
      <c r="C213" s="53"/>
      <c r="D213" s="53"/>
      <c r="E213" s="53"/>
      <c r="F213" s="53"/>
      <c r="G213" s="53"/>
    </row>
    <row r="214" spans="1:7" x14ac:dyDescent="0.15">
      <c r="A214" s="74"/>
      <c r="C214" s="53"/>
      <c r="D214" s="53"/>
      <c r="E214" s="53"/>
      <c r="F214" s="53"/>
      <c r="G214" s="53"/>
    </row>
    <row r="215" spans="1:7" x14ac:dyDescent="0.15">
      <c r="A215" s="74"/>
      <c r="C215" s="53"/>
      <c r="D215" s="53"/>
      <c r="E215" s="53"/>
      <c r="F215" s="53"/>
      <c r="G215" s="53"/>
    </row>
    <row r="216" spans="1:7" x14ac:dyDescent="0.15">
      <c r="A216" s="74"/>
      <c r="C216" s="53"/>
      <c r="D216" s="53"/>
      <c r="E216" s="53"/>
      <c r="F216" s="53"/>
      <c r="G216" s="53"/>
    </row>
    <row r="217" spans="1:7" x14ac:dyDescent="0.15">
      <c r="A217" s="74"/>
      <c r="C217" s="53"/>
      <c r="D217" s="53"/>
      <c r="E217" s="53"/>
      <c r="F217" s="53"/>
      <c r="G217" s="53"/>
    </row>
    <row r="218" spans="1:7" x14ac:dyDescent="0.15">
      <c r="A218" s="74"/>
      <c r="C218" s="53"/>
      <c r="D218" s="53"/>
      <c r="E218" s="53"/>
      <c r="F218" s="53"/>
      <c r="G218" s="53"/>
    </row>
    <row r="219" spans="1:7" x14ac:dyDescent="0.15">
      <c r="A219" s="74"/>
      <c r="C219" s="53"/>
      <c r="D219" s="53"/>
      <c r="E219" s="53"/>
      <c r="F219" s="53"/>
      <c r="G219" s="53"/>
    </row>
    <row r="220" spans="1:7" x14ac:dyDescent="0.15">
      <c r="A220" s="74"/>
      <c r="C220" s="53"/>
      <c r="D220" s="53"/>
      <c r="E220" s="53"/>
      <c r="F220" s="53"/>
      <c r="G220" s="53"/>
    </row>
    <row r="221" spans="1:7" x14ac:dyDescent="0.15">
      <c r="A221" s="74"/>
      <c r="C221" s="53"/>
      <c r="D221" s="53"/>
      <c r="E221" s="53"/>
      <c r="F221" s="53"/>
      <c r="G221" s="53"/>
    </row>
    <row r="222" spans="1:7" x14ac:dyDescent="0.15">
      <c r="A222" s="74"/>
      <c r="C222" s="53"/>
      <c r="D222" s="53"/>
      <c r="E222" s="53"/>
      <c r="F222" s="53"/>
      <c r="G222" s="53"/>
    </row>
    <row r="223" spans="1:7" x14ac:dyDescent="0.15">
      <c r="A223" s="74"/>
      <c r="C223" s="53"/>
      <c r="D223" s="53"/>
      <c r="E223" s="53"/>
      <c r="F223" s="53"/>
      <c r="G223" s="53"/>
    </row>
    <row r="224" spans="1:7" x14ac:dyDescent="0.15">
      <c r="A224" s="74"/>
      <c r="C224" s="53"/>
      <c r="D224" s="53"/>
      <c r="E224" s="53"/>
      <c r="F224" s="53"/>
      <c r="G224" s="53"/>
    </row>
    <row r="225" spans="1:7" x14ac:dyDescent="0.15">
      <c r="A225" s="74"/>
      <c r="C225" s="53"/>
      <c r="D225" s="53"/>
      <c r="E225" s="53"/>
      <c r="F225" s="53"/>
      <c r="G225" s="53"/>
    </row>
    <row r="226" spans="1:7" x14ac:dyDescent="0.15">
      <c r="A226" s="74"/>
      <c r="C226" s="53"/>
      <c r="D226" s="53"/>
      <c r="E226" s="53"/>
      <c r="F226" s="53"/>
      <c r="G226" s="53"/>
    </row>
    <row r="227" spans="1:7" x14ac:dyDescent="0.15">
      <c r="A227" s="74"/>
      <c r="C227" s="53"/>
      <c r="D227" s="53"/>
      <c r="E227" s="53"/>
      <c r="F227" s="53"/>
      <c r="G227" s="53"/>
    </row>
    <row r="228" spans="1:7" x14ac:dyDescent="0.15">
      <c r="A228" s="74"/>
      <c r="C228" s="53"/>
      <c r="D228" s="53"/>
      <c r="E228" s="53"/>
      <c r="F228" s="53"/>
      <c r="G228" s="53"/>
    </row>
    <row r="229" spans="1:7" x14ac:dyDescent="0.15">
      <c r="A229" s="74"/>
      <c r="C229" s="53"/>
      <c r="D229" s="53"/>
      <c r="E229" s="53"/>
      <c r="F229" s="53"/>
      <c r="G229" s="53"/>
    </row>
    <row r="230" spans="1:7" x14ac:dyDescent="0.15">
      <c r="A230" s="74"/>
      <c r="C230" s="53"/>
      <c r="D230" s="53"/>
      <c r="E230" s="53"/>
      <c r="F230" s="53"/>
      <c r="G230" s="53"/>
    </row>
    <row r="231" spans="1:7" x14ac:dyDescent="0.15">
      <c r="A231" s="74"/>
      <c r="C231" s="53"/>
      <c r="D231" s="53"/>
      <c r="E231" s="53"/>
      <c r="F231" s="53"/>
      <c r="G231" s="53"/>
    </row>
    <row r="232" spans="1:7" x14ac:dyDescent="0.15">
      <c r="A232" s="74"/>
      <c r="C232" s="53"/>
      <c r="D232" s="53"/>
      <c r="E232" s="53"/>
      <c r="F232" s="53"/>
      <c r="G232" s="53"/>
    </row>
    <row r="233" spans="1:7" x14ac:dyDescent="0.15">
      <c r="A233" s="74"/>
      <c r="C233" s="53"/>
      <c r="D233" s="53"/>
      <c r="E233" s="53"/>
      <c r="F233" s="53"/>
      <c r="G233" s="53"/>
    </row>
    <row r="234" spans="1:7" x14ac:dyDescent="0.15">
      <c r="A234" s="74"/>
      <c r="C234" s="53"/>
      <c r="D234" s="53"/>
      <c r="E234" s="53"/>
      <c r="F234" s="53"/>
      <c r="G234" s="53"/>
    </row>
    <row r="235" spans="1:7" x14ac:dyDescent="0.15">
      <c r="A235" s="74"/>
      <c r="C235" s="53"/>
      <c r="D235" s="53"/>
      <c r="E235" s="53"/>
      <c r="F235" s="53"/>
      <c r="G235" s="53"/>
    </row>
    <row r="236" spans="1:7" x14ac:dyDescent="0.15">
      <c r="A236" s="74"/>
      <c r="C236" s="53"/>
      <c r="D236" s="53"/>
      <c r="E236" s="53"/>
      <c r="F236" s="53"/>
      <c r="G236" s="53"/>
    </row>
    <row r="237" spans="1:7" x14ac:dyDescent="0.15">
      <c r="A237" s="74"/>
      <c r="C237" s="53"/>
      <c r="D237" s="53"/>
      <c r="E237" s="53"/>
      <c r="F237" s="53"/>
      <c r="G237" s="53"/>
    </row>
    <row r="238" spans="1:7" x14ac:dyDescent="0.15">
      <c r="A238" s="74"/>
      <c r="C238" s="53"/>
      <c r="D238" s="53"/>
      <c r="E238" s="53"/>
      <c r="F238" s="53"/>
      <c r="G238" s="53"/>
    </row>
    <row r="239" spans="1:7" x14ac:dyDescent="0.15">
      <c r="A239" s="74"/>
      <c r="C239" s="53"/>
      <c r="D239" s="53"/>
      <c r="E239" s="53"/>
      <c r="F239" s="53"/>
      <c r="G239" s="53"/>
    </row>
    <row r="240" spans="1:7" x14ac:dyDescent="0.15">
      <c r="A240" s="74"/>
      <c r="C240" s="53"/>
      <c r="D240" s="53"/>
      <c r="E240" s="53"/>
      <c r="F240" s="53"/>
      <c r="G240" s="53"/>
    </row>
    <row r="241" spans="1:7" x14ac:dyDescent="0.15">
      <c r="A241" s="74"/>
      <c r="C241" s="53"/>
      <c r="D241" s="53"/>
      <c r="E241" s="53"/>
      <c r="F241" s="53"/>
      <c r="G241" s="53"/>
    </row>
    <row r="242" spans="1:7" x14ac:dyDescent="0.15">
      <c r="A242" s="74"/>
      <c r="C242" s="53"/>
      <c r="D242" s="53"/>
      <c r="E242" s="53"/>
      <c r="F242" s="53"/>
      <c r="G242" s="53"/>
    </row>
    <row r="243" spans="1:7" x14ac:dyDescent="0.15">
      <c r="A243" s="74"/>
      <c r="C243" s="53"/>
      <c r="D243" s="53"/>
      <c r="E243" s="53"/>
      <c r="F243" s="53"/>
      <c r="G243" s="53"/>
    </row>
    <row r="244" spans="1:7" x14ac:dyDescent="0.15">
      <c r="A244" s="74"/>
      <c r="C244" s="53"/>
      <c r="D244" s="53"/>
      <c r="E244" s="53"/>
      <c r="F244" s="53"/>
      <c r="G244" s="53"/>
    </row>
    <row r="245" spans="1:7" x14ac:dyDescent="0.15">
      <c r="A245" s="74"/>
      <c r="C245" s="53"/>
      <c r="D245" s="53"/>
      <c r="E245" s="53"/>
      <c r="F245" s="53"/>
      <c r="G245" s="53"/>
    </row>
    <row r="246" spans="1:7" x14ac:dyDescent="0.15">
      <c r="A246" s="74"/>
      <c r="C246" s="53"/>
      <c r="D246" s="53"/>
      <c r="E246" s="53"/>
      <c r="F246" s="53"/>
      <c r="G246" s="53"/>
    </row>
    <row r="247" spans="1:7" x14ac:dyDescent="0.15">
      <c r="A247" s="74"/>
      <c r="C247" s="53"/>
      <c r="D247" s="53"/>
      <c r="E247" s="53"/>
      <c r="F247" s="53"/>
      <c r="G247" s="53"/>
    </row>
    <row r="248" spans="1:7" x14ac:dyDescent="0.15">
      <c r="A248" s="74"/>
      <c r="C248" s="53"/>
      <c r="D248" s="53"/>
      <c r="E248" s="53"/>
      <c r="F248" s="53"/>
      <c r="G248" s="53"/>
    </row>
    <row r="249" spans="1:7" x14ac:dyDescent="0.15">
      <c r="A249" s="74"/>
      <c r="C249" s="53"/>
      <c r="D249" s="53"/>
      <c r="E249" s="53"/>
      <c r="F249" s="53"/>
      <c r="G249" s="53"/>
    </row>
    <row r="250" spans="1:7" x14ac:dyDescent="0.15">
      <c r="A250" s="74"/>
      <c r="C250" s="53"/>
      <c r="D250" s="53"/>
      <c r="E250" s="53"/>
      <c r="F250" s="53"/>
      <c r="G250" s="53"/>
    </row>
    <row r="251" spans="1:7" x14ac:dyDescent="0.15">
      <c r="A251" s="74"/>
      <c r="C251" s="53"/>
      <c r="D251" s="53"/>
      <c r="E251" s="53"/>
      <c r="F251" s="53"/>
      <c r="G251" s="53"/>
    </row>
    <row r="252" spans="1:7" x14ac:dyDescent="0.15">
      <c r="A252" s="74"/>
      <c r="C252" s="53"/>
      <c r="D252" s="53"/>
      <c r="E252" s="53"/>
      <c r="F252" s="53"/>
      <c r="G252" s="53"/>
    </row>
    <row r="253" spans="1:7" x14ac:dyDescent="0.15">
      <c r="A253" s="74"/>
      <c r="C253" s="53"/>
      <c r="D253" s="53"/>
      <c r="E253" s="53"/>
      <c r="F253" s="53"/>
      <c r="G253" s="53"/>
    </row>
    <row r="254" spans="1:7" x14ac:dyDescent="0.15">
      <c r="A254" s="74"/>
      <c r="C254" s="53"/>
      <c r="D254" s="53"/>
      <c r="E254" s="53"/>
      <c r="F254" s="53"/>
      <c r="G254" s="53"/>
    </row>
    <row r="255" spans="1:7" x14ac:dyDescent="0.15">
      <c r="A255" s="74"/>
      <c r="C255" s="53"/>
      <c r="D255" s="53"/>
      <c r="E255" s="53"/>
      <c r="F255" s="53"/>
      <c r="G255" s="53"/>
    </row>
    <row r="256" spans="1:7" x14ac:dyDescent="0.15">
      <c r="A256" s="74"/>
      <c r="C256" s="53"/>
      <c r="D256" s="53"/>
      <c r="E256" s="53"/>
      <c r="F256" s="53"/>
      <c r="G256" s="53"/>
    </row>
    <row r="257" spans="1:7" x14ac:dyDescent="0.15">
      <c r="A257" s="74"/>
      <c r="C257" s="53"/>
      <c r="D257" s="53"/>
      <c r="E257" s="53"/>
      <c r="F257" s="53"/>
      <c r="G257" s="53"/>
    </row>
    <row r="258" spans="1:7" x14ac:dyDescent="0.15">
      <c r="A258" s="74"/>
      <c r="C258" s="53"/>
      <c r="D258" s="53"/>
      <c r="E258" s="53"/>
      <c r="F258" s="53"/>
      <c r="G258" s="53"/>
    </row>
    <row r="259" spans="1:7" x14ac:dyDescent="0.15">
      <c r="A259" s="74"/>
      <c r="C259" s="53"/>
      <c r="D259" s="53"/>
      <c r="E259" s="53"/>
      <c r="F259" s="53"/>
      <c r="G259" s="53"/>
    </row>
    <row r="260" spans="1:7" x14ac:dyDescent="0.15">
      <c r="A260" s="74"/>
      <c r="C260" s="53"/>
      <c r="D260" s="53"/>
      <c r="E260" s="53"/>
      <c r="F260" s="53"/>
      <c r="G260" s="53"/>
    </row>
    <row r="261" spans="1:7" x14ac:dyDescent="0.15">
      <c r="A261" s="74"/>
      <c r="C261" s="53"/>
      <c r="D261" s="53"/>
      <c r="E261" s="53"/>
      <c r="F261" s="53"/>
      <c r="G261" s="53"/>
    </row>
    <row r="262" spans="1:7" x14ac:dyDescent="0.15">
      <c r="A262" s="74"/>
      <c r="C262" s="53"/>
      <c r="D262" s="53"/>
      <c r="E262" s="53"/>
      <c r="F262" s="53"/>
      <c r="G262" s="53"/>
    </row>
    <row r="263" spans="1:7" x14ac:dyDescent="0.15">
      <c r="A263" s="74"/>
      <c r="C263" s="53"/>
      <c r="D263" s="53"/>
      <c r="E263" s="53"/>
      <c r="F263" s="53"/>
      <c r="G263" s="53"/>
    </row>
    <row r="264" spans="1:7" x14ac:dyDescent="0.15">
      <c r="A264" s="74"/>
      <c r="C264" s="53"/>
      <c r="D264" s="53"/>
      <c r="E264" s="53"/>
      <c r="F264" s="53"/>
      <c r="G264" s="53"/>
    </row>
    <row r="265" spans="1:7" x14ac:dyDescent="0.15">
      <c r="A265" s="74"/>
    </row>
    <row r="266" spans="1:7" x14ac:dyDescent="0.15">
      <c r="A266" s="74"/>
    </row>
    <row r="267" spans="1:7" x14ac:dyDescent="0.15">
      <c r="A267" s="74"/>
    </row>
    <row r="268" spans="1:7" x14ac:dyDescent="0.15">
      <c r="A268" s="74"/>
    </row>
    <row r="269" spans="1:7" x14ac:dyDescent="0.15">
      <c r="A269" s="74"/>
    </row>
    <row r="270" spans="1:7" x14ac:dyDescent="0.15">
      <c r="A270" s="74"/>
    </row>
    <row r="271" spans="1:7" x14ac:dyDescent="0.15">
      <c r="A271" s="74"/>
    </row>
    <row r="272" spans="1:7" x14ac:dyDescent="0.15">
      <c r="A272" s="74"/>
    </row>
    <row r="273" spans="1:1" x14ac:dyDescent="0.15">
      <c r="A273" s="74"/>
    </row>
    <row r="274" spans="1:1" x14ac:dyDescent="0.15">
      <c r="A274" s="74"/>
    </row>
    <row r="275" spans="1:1" x14ac:dyDescent="0.15">
      <c r="A275" s="74"/>
    </row>
    <row r="276" spans="1:1" x14ac:dyDescent="0.15">
      <c r="A276" s="74"/>
    </row>
    <row r="277" spans="1:1" x14ac:dyDescent="0.15">
      <c r="A277" s="74"/>
    </row>
    <row r="278" spans="1:1" x14ac:dyDescent="0.15">
      <c r="A278" s="74"/>
    </row>
    <row r="279" spans="1:1" x14ac:dyDescent="0.15">
      <c r="A279" s="74"/>
    </row>
    <row r="280" spans="1:1" x14ac:dyDescent="0.15">
      <c r="A280" s="74"/>
    </row>
    <row r="281" spans="1:1" x14ac:dyDescent="0.15">
      <c r="A281" s="74"/>
    </row>
    <row r="282" spans="1:1" x14ac:dyDescent="0.15">
      <c r="A282" s="74"/>
    </row>
    <row r="283" spans="1:1" x14ac:dyDescent="0.15">
      <c r="A283" s="74"/>
    </row>
    <row r="284" spans="1:1" x14ac:dyDescent="0.15">
      <c r="A284" s="74"/>
    </row>
    <row r="285" spans="1:1" x14ac:dyDescent="0.15">
      <c r="A285" s="74"/>
    </row>
    <row r="286" spans="1:1" x14ac:dyDescent="0.15">
      <c r="A286" s="74"/>
    </row>
    <row r="287" spans="1:1" x14ac:dyDescent="0.15">
      <c r="A287" s="74"/>
    </row>
    <row r="288" spans="1:1" x14ac:dyDescent="0.15">
      <c r="A288" s="74"/>
    </row>
  </sheetData>
  <phoneticPr fontId="8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88"/>
  <sheetViews>
    <sheetView zoomScaleNormal="100" workbookViewId="0">
      <selection sqref="A1:G80"/>
    </sheetView>
  </sheetViews>
  <sheetFormatPr defaultColWidth="9" defaultRowHeight="14.25" x14ac:dyDescent="0.15"/>
  <cols>
    <col min="1" max="1" width="25" bestFit="1" customWidth="1"/>
    <col min="6" max="6" width="14" customWidth="1"/>
  </cols>
  <sheetData>
    <row r="1" spans="1:7" x14ac:dyDescent="0.15">
      <c r="A1" s="74" t="s">
        <v>100</v>
      </c>
      <c r="B1">
        <v>36247.632799999999</v>
      </c>
      <c r="C1">
        <v>35.229500000000002</v>
      </c>
      <c r="D1">
        <v>44.464700000000001</v>
      </c>
      <c r="E1">
        <v>43.0655</v>
      </c>
      <c r="F1">
        <v>1303374.6880000001</v>
      </c>
      <c r="G1">
        <v>126.215</v>
      </c>
    </row>
    <row r="2" spans="1:7" x14ac:dyDescent="0.15">
      <c r="A2" s="74" t="s">
        <v>36</v>
      </c>
      <c r="B2">
        <v>17241.437600000001</v>
      </c>
      <c r="C2">
        <v>32.009799999999998</v>
      </c>
      <c r="D2">
        <v>42.626899999999999</v>
      </c>
      <c r="E2">
        <v>41.500900000000001</v>
      </c>
      <c r="F2">
        <v>741479.12</v>
      </c>
      <c r="G2">
        <v>97.662000000000006</v>
      </c>
    </row>
    <row r="3" spans="1:7" x14ac:dyDescent="0.15">
      <c r="A3" s="74" t="s">
        <v>101</v>
      </c>
      <c r="B3">
        <v>6537.6527999999998</v>
      </c>
      <c r="C3">
        <v>28.617000000000001</v>
      </c>
      <c r="D3">
        <v>40.744199999999999</v>
      </c>
      <c r="E3">
        <v>40.017899999999997</v>
      </c>
      <c r="F3">
        <v>397389.79200000002</v>
      </c>
      <c r="G3">
        <v>79.125</v>
      </c>
    </row>
    <row r="4" spans="1:7" x14ac:dyDescent="0.15">
      <c r="A4" s="74" t="s">
        <v>102</v>
      </c>
      <c r="B4">
        <v>2236.1840000000002</v>
      </c>
      <c r="C4">
        <v>25.430900000000001</v>
      </c>
      <c r="D4">
        <v>39.026600000000002</v>
      </c>
      <c r="E4">
        <v>38.6006</v>
      </c>
      <c r="F4">
        <v>194179.10800000001</v>
      </c>
      <c r="G4">
        <v>68.828999999999994</v>
      </c>
    </row>
    <row r="5" spans="1:7" x14ac:dyDescent="0.15">
      <c r="A5" s="74" t="s">
        <v>103</v>
      </c>
      <c r="B5">
        <v>45170.311999999998</v>
      </c>
      <c r="C5">
        <v>35.031100000000002</v>
      </c>
      <c r="D5">
        <v>45.060699999999997</v>
      </c>
      <c r="E5">
        <v>47.261400000000002</v>
      </c>
      <c r="F5">
        <v>1716757.28</v>
      </c>
      <c r="G5">
        <v>170.20500000000001</v>
      </c>
    </row>
    <row r="6" spans="1:7" x14ac:dyDescent="0.15">
      <c r="A6" s="74" t="s">
        <v>37</v>
      </c>
      <c r="B6">
        <v>19165.619200000001</v>
      </c>
      <c r="C6">
        <v>31.721399999999999</v>
      </c>
      <c r="D6">
        <v>43.707700000000003</v>
      </c>
      <c r="E6">
        <v>46.024299999999997</v>
      </c>
      <c r="F6">
        <v>927242.99199999997</v>
      </c>
      <c r="G6">
        <v>127.54900000000001</v>
      </c>
    </row>
    <row r="7" spans="1:7" x14ac:dyDescent="0.15">
      <c r="A7" s="74" t="s">
        <v>104</v>
      </c>
      <c r="B7">
        <v>6536.0511999999999</v>
      </c>
      <c r="C7">
        <v>28.325299999999999</v>
      </c>
      <c r="D7">
        <v>42.202199999999998</v>
      </c>
      <c r="E7">
        <v>44.452500000000001</v>
      </c>
      <c r="F7">
        <v>427263.24800000002</v>
      </c>
      <c r="G7">
        <v>99.694000000000003</v>
      </c>
    </row>
    <row r="8" spans="1:7" x14ac:dyDescent="0.15">
      <c r="A8" s="74" t="s">
        <v>105</v>
      </c>
      <c r="B8">
        <v>2240.0864000000001</v>
      </c>
      <c r="C8">
        <v>25.169599999999999</v>
      </c>
      <c r="D8">
        <v>40.525399999999998</v>
      </c>
      <c r="E8">
        <v>42.566400000000002</v>
      </c>
      <c r="F8">
        <v>205789.26800000001</v>
      </c>
      <c r="G8">
        <v>79.989000000000004</v>
      </c>
    </row>
    <row r="9" spans="1:7" x14ac:dyDescent="0.15">
      <c r="A9" s="74" t="s">
        <v>106</v>
      </c>
      <c r="B9">
        <v>8248.1664000000001</v>
      </c>
      <c r="C9">
        <v>40.152999999999999</v>
      </c>
      <c r="D9">
        <v>47.997999999999998</v>
      </c>
      <c r="E9">
        <v>46.852600000000002</v>
      </c>
      <c r="F9">
        <v>407451.38400000002</v>
      </c>
      <c r="G9">
        <v>90.042000000000002</v>
      </c>
    </row>
    <row r="10" spans="1:7" x14ac:dyDescent="0.15">
      <c r="A10" s="74" t="s">
        <v>38</v>
      </c>
      <c r="B10">
        <v>3954.1368000000002</v>
      </c>
      <c r="C10">
        <v>37.790900000000001</v>
      </c>
      <c r="D10">
        <v>46.6098</v>
      </c>
      <c r="E10">
        <v>45.521599999999999</v>
      </c>
      <c r="F10">
        <v>223352.16399999999</v>
      </c>
      <c r="G10">
        <v>81.302000000000007</v>
      </c>
    </row>
    <row r="11" spans="1:7" x14ac:dyDescent="0.15">
      <c r="A11" s="74" t="s">
        <v>107</v>
      </c>
      <c r="B11">
        <v>1807.7816</v>
      </c>
      <c r="C11">
        <v>35.1325</v>
      </c>
      <c r="D11">
        <v>44.942100000000003</v>
      </c>
      <c r="E11">
        <v>43.909300000000002</v>
      </c>
      <c r="F11">
        <v>122273.21</v>
      </c>
      <c r="G11">
        <v>75.228999999999999</v>
      </c>
    </row>
    <row r="12" spans="1:7" x14ac:dyDescent="0.15">
      <c r="A12" s="74" t="s">
        <v>108</v>
      </c>
      <c r="B12">
        <v>895.50959999999998</v>
      </c>
      <c r="C12">
        <v>32.393300000000004</v>
      </c>
      <c r="D12">
        <v>42.893099999999997</v>
      </c>
      <c r="E12">
        <v>41.9923</v>
      </c>
      <c r="F12">
        <v>69617.547999999995</v>
      </c>
      <c r="G12">
        <v>62.005000000000003</v>
      </c>
    </row>
    <row r="13" spans="1:7" x14ac:dyDescent="0.15">
      <c r="A13" s="74" t="s">
        <v>109</v>
      </c>
      <c r="B13">
        <v>18913.88</v>
      </c>
      <c r="C13">
        <v>37.132199999999997</v>
      </c>
      <c r="D13">
        <v>43.0047</v>
      </c>
      <c r="E13">
        <v>42.572899999999997</v>
      </c>
      <c r="F13">
        <v>751486.39199999999</v>
      </c>
      <c r="G13">
        <v>98.885000000000005</v>
      </c>
    </row>
    <row r="14" spans="1:7" x14ac:dyDescent="0.15">
      <c r="A14" s="74" t="s">
        <v>39</v>
      </c>
      <c r="B14">
        <v>8229.3248000000003</v>
      </c>
      <c r="C14">
        <v>34.232999999999997</v>
      </c>
      <c r="D14">
        <v>41.153500000000001</v>
      </c>
      <c r="E14">
        <v>40.800600000000003</v>
      </c>
      <c r="F14">
        <v>394136.46799999999</v>
      </c>
      <c r="G14">
        <v>80.724999999999994</v>
      </c>
    </row>
    <row r="15" spans="1:7" x14ac:dyDescent="0.15">
      <c r="A15" s="74" t="s">
        <v>110</v>
      </c>
      <c r="B15">
        <v>3296.6480000000001</v>
      </c>
      <c r="C15">
        <v>30.9696</v>
      </c>
      <c r="D15">
        <v>39.131799999999998</v>
      </c>
      <c r="E15">
        <v>38.867600000000003</v>
      </c>
      <c r="F15">
        <v>202297.51199999999</v>
      </c>
      <c r="G15">
        <v>68.215999999999994</v>
      </c>
    </row>
    <row r="16" spans="1:7" x14ac:dyDescent="0.15">
      <c r="A16" s="74" t="s">
        <v>111</v>
      </c>
      <c r="B16">
        <v>1479.3327999999999</v>
      </c>
      <c r="C16">
        <v>27.585899999999999</v>
      </c>
      <c r="D16">
        <v>37.287799999999997</v>
      </c>
      <c r="E16">
        <v>37.008600000000001</v>
      </c>
      <c r="F16">
        <v>115516.186</v>
      </c>
      <c r="G16">
        <v>59.088999999999999</v>
      </c>
    </row>
    <row r="17" spans="1:7" x14ac:dyDescent="0.15">
      <c r="A17" s="74" t="s">
        <v>112</v>
      </c>
      <c r="B17">
        <v>17548.3256</v>
      </c>
      <c r="C17">
        <v>36.762799999999999</v>
      </c>
      <c r="D17">
        <v>44.984400000000001</v>
      </c>
      <c r="E17">
        <v>45.610399999999998</v>
      </c>
      <c r="F17">
        <v>927126.36</v>
      </c>
      <c r="G17">
        <v>124.795</v>
      </c>
    </row>
    <row r="18" spans="1:7" x14ac:dyDescent="0.15">
      <c r="A18" s="74" t="s">
        <v>34</v>
      </c>
      <c r="B18">
        <v>6786.2951999999996</v>
      </c>
      <c r="C18">
        <v>34.1282</v>
      </c>
      <c r="D18">
        <v>43.188200000000002</v>
      </c>
      <c r="E18">
        <v>44.233699999999999</v>
      </c>
      <c r="F18">
        <v>387960.53600000002</v>
      </c>
      <c r="G18">
        <v>87.28</v>
      </c>
    </row>
    <row r="19" spans="1:7" x14ac:dyDescent="0.15">
      <c r="A19" s="74" t="s">
        <v>113</v>
      </c>
      <c r="B19">
        <v>2568.8184000000001</v>
      </c>
      <c r="C19">
        <v>31.446400000000001</v>
      </c>
      <c r="D19">
        <v>41.211599999999997</v>
      </c>
      <c r="E19">
        <v>42.808399999999999</v>
      </c>
      <c r="F19">
        <v>186974.00899999999</v>
      </c>
      <c r="G19">
        <v>72.709999999999994</v>
      </c>
    </row>
    <row r="20" spans="1:7" x14ac:dyDescent="0.15">
      <c r="A20" s="74" t="s">
        <v>114</v>
      </c>
      <c r="B20">
        <v>971.16800000000001</v>
      </c>
      <c r="C20">
        <v>28.828299999999999</v>
      </c>
      <c r="D20">
        <v>39.1937</v>
      </c>
      <c r="E20">
        <v>41.220500000000001</v>
      </c>
      <c r="F20">
        <v>97426.790999999997</v>
      </c>
      <c r="G20">
        <v>59.466999999999999</v>
      </c>
    </row>
    <row r="21" spans="1:7" x14ac:dyDescent="0.15">
      <c r="A21" s="74" t="s">
        <v>115</v>
      </c>
      <c r="B21">
        <v>56461.174400000004</v>
      </c>
      <c r="C21">
        <v>36.400300000000001</v>
      </c>
      <c r="D21">
        <v>44.377200000000002</v>
      </c>
      <c r="E21">
        <v>44.758600000000001</v>
      </c>
      <c r="F21">
        <v>1539857.4879999999</v>
      </c>
      <c r="G21">
        <v>153.077</v>
      </c>
    </row>
    <row r="22" spans="1:7" x14ac:dyDescent="0.15">
      <c r="A22" s="74" t="s">
        <v>35</v>
      </c>
      <c r="B22">
        <v>25199.004000000001</v>
      </c>
      <c r="C22">
        <v>33.087699999999998</v>
      </c>
      <c r="D22">
        <v>42.599200000000003</v>
      </c>
      <c r="E22">
        <v>43.354500000000002</v>
      </c>
      <c r="F22">
        <v>936096.58799999999</v>
      </c>
      <c r="G22">
        <v>114.98699999999999</v>
      </c>
    </row>
    <row r="23" spans="1:7" x14ac:dyDescent="0.15">
      <c r="A23" s="74" t="s">
        <v>116</v>
      </c>
      <c r="B23">
        <v>5987.6791999999996</v>
      </c>
      <c r="C23">
        <v>29.6661</v>
      </c>
      <c r="D23">
        <v>40.794800000000002</v>
      </c>
      <c r="E23">
        <v>41.924900000000001</v>
      </c>
      <c r="F23">
        <v>403323.16600000003</v>
      </c>
      <c r="G23">
        <v>80.269000000000005</v>
      </c>
    </row>
    <row r="24" spans="1:7" x14ac:dyDescent="0.15">
      <c r="A24" s="74" t="s">
        <v>117</v>
      </c>
      <c r="B24">
        <v>1350.9416000000001</v>
      </c>
      <c r="C24">
        <v>26.511399999999998</v>
      </c>
      <c r="D24">
        <v>39.085700000000003</v>
      </c>
      <c r="E24">
        <v>40.482399999999998</v>
      </c>
      <c r="F24">
        <v>131997.079</v>
      </c>
      <c r="G24">
        <v>61.856999999999999</v>
      </c>
    </row>
    <row r="25" spans="1:7" x14ac:dyDescent="0.15">
      <c r="A25" s="74" t="s">
        <v>118</v>
      </c>
      <c r="B25">
        <v>10726.308000000001</v>
      </c>
      <c r="C25">
        <v>34.6464</v>
      </c>
      <c r="D25">
        <v>41.338200000000001</v>
      </c>
      <c r="E25">
        <v>42.575299999999999</v>
      </c>
      <c r="F25">
        <v>354622.99200000003</v>
      </c>
      <c r="G25">
        <v>34.628</v>
      </c>
    </row>
    <row r="26" spans="1:7" x14ac:dyDescent="0.15">
      <c r="A26" s="74" t="s">
        <v>42</v>
      </c>
      <c r="B26">
        <v>5350.8832000000002</v>
      </c>
      <c r="C26">
        <v>31.446100000000001</v>
      </c>
      <c r="D26">
        <v>39.4878</v>
      </c>
      <c r="E26">
        <v>41.056100000000001</v>
      </c>
      <c r="F26">
        <v>218330.43599999999</v>
      </c>
      <c r="G26">
        <v>25.904</v>
      </c>
    </row>
    <row r="27" spans="1:7" x14ac:dyDescent="0.15">
      <c r="A27" s="74" t="s">
        <v>119</v>
      </c>
      <c r="B27">
        <v>2078.5448000000001</v>
      </c>
      <c r="C27">
        <v>28.108599999999999</v>
      </c>
      <c r="D27">
        <v>37.756100000000004</v>
      </c>
      <c r="E27">
        <v>39.551600000000001</v>
      </c>
      <c r="F27">
        <v>123657.016</v>
      </c>
      <c r="G27">
        <v>20.666</v>
      </c>
    </row>
    <row r="28" spans="1:7" x14ac:dyDescent="0.15">
      <c r="A28" s="74" t="s">
        <v>120</v>
      </c>
      <c r="B28">
        <v>741.41840000000002</v>
      </c>
      <c r="C28">
        <v>25.034300000000002</v>
      </c>
      <c r="D28">
        <v>36.177300000000002</v>
      </c>
      <c r="E28">
        <v>38.062800000000003</v>
      </c>
      <c r="F28">
        <v>60105.392999999996</v>
      </c>
      <c r="G28">
        <v>17.109000000000002</v>
      </c>
    </row>
    <row r="29" spans="1:7" x14ac:dyDescent="0.15">
      <c r="A29" s="74" t="s">
        <v>121</v>
      </c>
      <c r="B29">
        <v>7002.3440000000001</v>
      </c>
      <c r="C29">
        <v>37.908299999999997</v>
      </c>
      <c r="D29">
        <v>44.672800000000002</v>
      </c>
      <c r="E29">
        <v>46.826799999999999</v>
      </c>
      <c r="F29">
        <v>223902.38</v>
      </c>
      <c r="G29">
        <v>28.43</v>
      </c>
    </row>
    <row r="30" spans="1:7" x14ac:dyDescent="0.15">
      <c r="A30" s="74" t="s">
        <v>43</v>
      </c>
      <c r="B30">
        <v>3770.9888000000001</v>
      </c>
      <c r="C30">
        <v>35.303100000000001</v>
      </c>
      <c r="D30">
        <v>42.867100000000001</v>
      </c>
      <c r="E30">
        <v>45.251600000000003</v>
      </c>
      <c r="F30">
        <v>147303.652</v>
      </c>
      <c r="G30">
        <v>25.154</v>
      </c>
    </row>
    <row r="31" spans="1:7" x14ac:dyDescent="0.15">
      <c r="A31" s="74" t="s">
        <v>122</v>
      </c>
      <c r="B31">
        <v>1710.1392000000001</v>
      </c>
      <c r="C31">
        <v>32.231200000000001</v>
      </c>
      <c r="D31">
        <v>40.942599999999999</v>
      </c>
      <c r="E31">
        <v>43.377800000000001</v>
      </c>
      <c r="F31">
        <v>88679.642999999996</v>
      </c>
      <c r="G31">
        <v>21.1</v>
      </c>
    </row>
    <row r="32" spans="1:7" x14ac:dyDescent="0.15">
      <c r="A32" s="74" t="s">
        <v>123</v>
      </c>
      <c r="B32">
        <v>766.27919999999995</v>
      </c>
      <c r="C32">
        <v>29.101600000000001</v>
      </c>
      <c r="D32">
        <v>39.017899999999997</v>
      </c>
      <c r="E32">
        <v>41.212600000000002</v>
      </c>
      <c r="F32">
        <v>49902.75</v>
      </c>
      <c r="G32">
        <v>18.207999999999998</v>
      </c>
    </row>
    <row r="33" spans="1:7" x14ac:dyDescent="0.15">
      <c r="A33" s="74" t="s">
        <v>124</v>
      </c>
      <c r="B33">
        <v>3590.4520000000002</v>
      </c>
      <c r="C33">
        <v>34.923000000000002</v>
      </c>
      <c r="D33">
        <v>41.661700000000003</v>
      </c>
      <c r="E33">
        <v>42.095700000000001</v>
      </c>
      <c r="F33">
        <v>165240.13</v>
      </c>
      <c r="G33">
        <v>17.946999999999999</v>
      </c>
    </row>
    <row r="34" spans="1:7" x14ac:dyDescent="0.15">
      <c r="A34" s="74" t="s">
        <v>41</v>
      </c>
      <c r="B34">
        <v>1843.0888</v>
      </c>
      <c r="C34">
        <v>31.807500000000001</v>
      </c>
      <c r="D34">
        <v>39.9602</v>
      </c>
      <c r="E34">
        <v>40.566099999999999</v>
      </c>
      <c r="F34">
        <v>87915.316000000006</v>
      </c>
      <c r="G34">
        <v>15.449</v>
      </c>
    </row>
    <row r="35" spans="1:7" x14ac:dyDescent="0.15">
      <c r="A35" s="74" t="s">
        <v>125</v>
      </c>
      <c r="B35">
        <v>861.21199999999999</v>
      </c>
      <c r="C35">
        <v>28.313199999999998</v>
      </c>
      <c r="D35">
        <v>38.269100000000002</v>
      </c>
      <c r="E35">
        <v>39.023400000000002</v>
      </c>
      <c r="F35">
        <v>50442.752999999997</v>
      </c>
      <c r="G35">
        <v>14.411</v>
      </c>
    </row>
    <row r="36" spans="1:7" x14ac:dyDescent="0.15">
      <c r="A36" s="74" t="s">
        <v>126</v>
      </c>
      <c r="B36">
        <v>375.55439999999999</v>
      </c>
      <c r="C36">
        <v>24.931799999999999</v>
      </c>
      <c r="D36">
        <v>36.704700000000003</v>
      </c>
      <c r="E36">
        <v>37.671700000000001</v>
      </c>
      <c r="F36">
        <v>30526.067999999999</v>
      </c>
      <c r="G36">
        <v>12.628</v>
      </c>
    </row>
    <row r="37" spans="1:7" x14ac:dyDescent="0.15">
      <c r="A37" s="74" t="s">
        <v>127</v>
      </c>
      <c r="B37">
        <v>7942.5648000000001</v>
      </c>
      <c r="C37">
        <v>35.839500000000001</v>
      </c>
      <c r="D37">
        <v>42.553699999999999</v>
      </c>
      <c r="E37">
        <v>43.9621</v>
      </c>
      <c r="F37">
        <v>308483.68400000001</v>
      </c>
      <c r="G37">
        <v>32.039000000000001</v>
      </c>
    </row>
    <row r="38" spans="1:7" x14ac:dyDescent="0.15">
      <c r="A38" s="74" t="s">
        <v>40</v>
      </c>
      <c r="B38">
        <v>3710.5423999999998</v>
      </c>
      <c r="C38">
        <v>32.869100000000003</v>
      </c>
      <c r="D38">
        <v>40.730800000000002</v>
      </c>
      <c r="E38">
        <v>42.130899999999997</v>
      </c>
      <c r="F38">
        <v>173981.24400000001</v>
      </c>
      <c r="G38">
        <v>25.045999999999999</v>
      </c>
    </row>
    <row r="39" spans="1:7" x14ac:dyDescent="0.15">
      <c r="A39" s="74" t="s">
        <v>128</v>
      </c>
      <c r="B39">
        <v>1403.9767999999999</v>
      </c>
      <c r="C39">
        <v>29.693999999999999</v>
      </c>
      <c r="D39">
        <v>38.816400000000002</v>
      </c>
      <c r="E39">
        <v>40.213299999999997</v>
      </c>
      <c r="F39">
        <v>90478.370999999999</v>
      </c>
      <c r="G39">
        <v>20.32</v>
      </c>
    </row>
    <row r="40" spans="1:7" x14ac:dyDescent="0.15">
      <c r="A40" s="74" t="s">
        <v>129</v>
      </c>
      <c r="B40">
        <v>468.512</v>
      </c>
      <c r="C40">
        <v>26.659600000000001</v>
      </c>
      <c r="D40">
        <v>36.930599999999998</v>
      </c>
      <c r="E40">
        <v>38.441499999999998</v>
      </c>
      <c r="F40">
        <v>42949.095000000001</v>
      </c>
      <c r="G40">
        <v>16.25</v>
      </c>
    </row>
    <row r="41" spans="1:7" x14ac:dyDescent="0.15">
      <c r="A41" s="74" t="s">
        <v>130</v>
      </c>
      <c r="B41">
        <v>33696.095200000003</v>
      </c>
      <c r="C41">
        <v>35.378700000000002</v>
      </c>
      <c r="D41">
        <v>44.651699999999998</v>
      </c>
      <c r="E41">
        <v>43.206000000000003</v>
      </c>
      <c r="F41">
        <v>1312728.112</v>
      </c>
      <c r="G41">
        <v>127.879</v>
      </c>
    </row>
    <row r="42" spans="1:7" x14ac:dyDescent="0.15">
      <c r="A42" s="74" t="s">
        <v>131</v>
      </c>
      <c r="B42">
        <v>15371.4192</v>
      </c>
      <c r="C42">
        <v>32.298999999999999</v>
      </c>
      <c r="D42">
        <v>42.912300000000002</v>
      </c>
      <c r="E42">
        <v>41.734699999999997</v>
      </c>
      <c r="F42">
        <v>738019.46400000004</v>
      </c>
      <c r="G42">
        <v>99.855000000000004</v>
      </c>
    </row>
    <row r="43" spans="1:7" x14ac:dyDescent="0.15">
      <c r="A43" s="74" t="s">
        <v>132</v>
      </c>
      <c r="B43">
        <v>5524.8720000000003</v>
      </c>
      <c r="C43">
        <v>28.957699999999999</v>
      </c>
      <c r="D43">
        <v>40.808500000000002</v>
      </c>
      <c r="E43">
        <v>40.073</v>
      </c>
      <c r="F43">
        <v>393130.75199999998</v>
      </c>
      <c r="G43">
        <v>80.552999999999997</v>
      </c>
    </row>
    <row r="44" spans="1:7" x14ac:dyDescent="0.15">
      <c r="A44" s="74" t="s">
        <v>133</v>
      </c>
      <c r="B44">
        <v>1851.42</v>
      </c>
      <c r="C44">
        <v>25.777100000000001</v>
      </c>
      <c r="D44">
        <v>39.423699999999997</v>
      </c>
      <c r="E44">
        <v>38.879399999999997</v>
      </c>
      <c r="F44">
        <v>191870.008</v>
      </c>
      <c r="G44">
        <v>68.042000000000002</v>
      </c>
    </row>
    <row r="45" spans="1:7" x14ac:dyDescent="0.15">
      <c r="A45" s="74" t="s">
        <v>134</v>
      </c>
      <c r="B45">
        <v>43998.225599999998</v>
      </c>
      <c r="C45">
        <v>35.0837</v>
      </c>
      <c r="D45">
        <v>45.127000000000002</v>
      </c>
      <c r="E45">
        <v>47.302700000000002</v>
      </c>
      <c r="F45">
        <v>1776369.568</v>
      </c>
      <c r="G45">
        <v>173.977</v>
      </c>
    </row>
    <row r="46" spans="1:7" x14ac:dyDescent="0.15">
      <c r="A46" s="74" t="s">
        <v>135</v>
      </c>
      <c r="B46">
        <v>17970.2</v>
      </c>
      <c r="C46">
        <v>31.834199999999999</v>
      </c>
      <c r="D46">
        <v>43.8078</v>
      </c>
      <c r="E46">
        <v>46.0732</v>
      </c>
      <c r="F46">
        <v>958180.12800000003</v>
      </c>
      <c r="G46">
        <v>130.529</v>
      </c>
    </row>
    <row r="47" spans="1:7" x14ac:dyDescent="0.15">
      <c r="A47" s="74" t="s">
        <v>136</v>
      </c>
      <c r="B47">
        <v>5638.0191999999997</v>
      </c>
      <c r="C47">
        <v>28.538699999999999</v>
      </c>
      <c r="D47">
        <v>42.201599999999999</v>
      </c>
      <c r="E47">
        <v>44.465800000000002</v>
      </c>
      <c r="F47">
        <v>440125.592</v>
      </c>
      <c r="G47">
        <v>102.29600000000001</v>
      </c>
    </row>
    <row r="48" spans="1:7" x14ac:dyDescent="0.15">
      <c r="A48" s="74" t="s">
        <v>137</v>
      </c>
      <c r="B48">
        <v>1856.5935999999999</v>
      </c>
      <c r="C48">
        <v>25.449400000000001</v>
      </c>
      <c r="D48">
        <v>40.684399999999997</v>
      </c>
      <c r="E48">
        <v>42.770699999999998</v>
      </c>
      <c r="F48">
        <v>210373.78</v>
      </c>
      <c r="G48">
        <v>81.918999999999997</v>
      </c>
    </row>
    <row r="49" spans="1:7" x14ac:dyDescent="0.15">
      <c r="A49" s="74" t="s">
        <v>138</v>
      </c>
      <c r="B49">
        <v>7742.8104000000003</v>
      </c>
      <c r="C49">
        <v>40.324100000000001</v>
      </c>
      <c r="D49">
        <v>48.100299999999997</v>
      </c>
      <c r="E49">
        <v>46.942700000000002</v>
      </c>
      <c r="F49">
        <v>418571.03200000001</v>
      </c>
      <c r="G49">
        <v>90.557000000000002</v>
      </c>
    </row>
    <row r="50" spans="1:7" x14ac:dyDescent="0.15">
      <c r="A50" s="74" t="s">
        <v>139</v>
      </c>
      <c r="B50">
        <v>3553.8319999999999</v>
      </c>
      <c r="C50">
        <v>38.065300000000001</v>
      </c>
      <c r="D50">
        <v>46.842799999999997</v>
      </c>
      <c r="E50">
        <v>45.710999999999999</v>
      </c>
      <c r="F50">
        <v>226597.264</v>
      </c>
      <c r="G50">
        <v>80.564999999999998</v>
      </c>
    </row>
    <row r="51" spans="1:7" x14ac:dyDescent="0.15">
      <c r="A51" s="74" t="s">
        <v>140</v>
      </c>
      <c r="B51">
        <v>1541.5512000000001</v>
      </c>
      <c r="C51">
        <v>35.459499999999998</v>
      </c>
      <c r="D51">
        <v>45.054400000000001</v>
      </c>
      <c r="E51">
        <v>44.057000000000002</v>
      </c>
      <c r="F51">
        <v>123324.38800000001</v>
      </c>
      <c r="G51">
        <v>73.593999999999994</v>
      </c>
    </row>
    <row r="52" spans="1:7" x14ac:dyDescent="0.15">
      <c r="A52" s="74" t="s">
        <v>141</v>
      </c>
      <c r="B52">
        <v>750.24720000000002</v>
      </c>
      <c r="C52">
        <v>32.791899999999998</v>
      </c>
      <c r="D52">
        <v>43.359499999999997</v>
      </c>
      <c r="E52">
        <v>42.378700000000002</v>
      </c>
      <c r="F52">
        <v>68830.660999999993</v>
      </c>
      <c r="G52">
        <v>61.55</v>
      </c>
    </row>
    <row r="53" spans="1:7" x14ac:dyDescent="0.15">
      <c r="A53" s="74" t="s">
        <v>142</v>
      </c>
      <c r="B53">
        <v>16866.372800000001</v>
      </c>
      <c r="C53">
        <v>37.325600000000001</v>
      </c>
      <c r="D53">
        <v>43.206499999999998</v>
      </c>
      <c r="E53">
        <v>42.8155</v>
      </c>
      <c r="F53">
        <v>746549.49600000004</v>
      </c>
      <c r="G53">
        <v>99.638000000000005</v>
      </c>
    </row>
    <row r="54" spans="1:7" x14ac:dyDescent="0.15">
      <c r="A54" s="74" t="s">
        <v>143</v>
      </c>
      <c r="B54">
        <v>6651.3047999999999</v>
      </c>
      <c r="C54">
        <v>34.594000000000001</v>
      </c>
      <c r="D54">
        <v>41.430100000000003</v>
      </c>
      <c r="E54">
        <v>41.132100000000001</v>
      </c>
      <c r="F54">
        <v>390919.68800000002</v>
      </c>
      <c r="G54">
        <v>81.549000000000007</v>
      </c>
    </row>
    <row r="55" spans="1:7" x14ac:dyDescent="0.15">
      <c r="A55" s="74" t="s">
        <v>144</v>
      </c>
      <c r="B55">
        <v>2270.788</v>
      </c>
      <c r="C55">
        <v>31.432500000000001</v>
      </c>
      <c r="D55">
        <v>39.176299999999998</v>
      </c>
      <c r="E55">
        <v>38.948799999999999</v>
      </c>
      <c r="F55">
        <v>194628.46</v>
      </c>
      <c r="G55">
        <v>68.597999999999999</v>
      </c>
    </row>
    <row r="56" spans="1:7" x14ac:dyDescent="0.15">
      <c r="A56" s="74" t="s">
        <v>145</v>
      </c>
      <c r="B56">
        <v>935.02639999999997</v>
      </c>
      <c r="C56">
        <v>28.136299999999999</v>
      </c>
      <c r="D56">
        <v>37.636899999999997</v>
      </c>
      <c r="E56">
        <v>37.381900000000002</v>
      </c>
      <c r="F56">
        <v>108649.95</v>
      </c>
      <c r="G56">
        <v>58.942999999999998</v>
      </c>
    </row>
    <row r="57" spans="1:7" x14ac:dyDescent="0.15">
      <c r="A57" s="74" t="s">
        <v>146</v>
      </c>
      <c r="B57">
        <v>17096.625599999999</v>
      </c>
      <c r="C57">
        <v>36.796199999999999</v>
      </c>
      <c r="D57">
        <v>45.021599999999999</v>
      </c>
      <c r="E57">
        <v>45.6494</v>
      </c>
      <c r="F57">
        <v>959232.28799999994</v>
      </c>
      <c r="G57">
        <v>127.58799999999999</v>
      </c>
    </row>
    <row r="58" spans="1:7" x14ac:dyDescent="0.15">
      <c r="A58" s="74" t="s">
        <v>147</v>
      </c>
      <c r="B58">
        <v>6342.3280000000004</v>
      </c>
      <c r="C58">
        <v>34.240499999999997</v>
      </c>
      <c r="D58">
        <v>43.299399999999999</v>
      </c>
      <c r="E58">
        <v>44.3613</v>
      </c>
      <c r="F58">
        <v>400285.86800000002</v>
      </c>
      <c r="G58">
        <v>88.799000000000007</v>
      </c>
    </row>
    <row r="59" spans="1:7" x14ac:dyDescent="0.15">
      <c r="A59" s="74" t="s">
        <v>148</v>
      </c>
      <c r="B59">
        <v>2288.2336</v>
      </c>
      <c r="C59">
        <v>31.673400000000001</v>
      </c>
      <c r="D59">
        <v>40.982500000000002</v>
      </c>
      <c r="E59">
        <v>42.883899999999997</v>
      </c>
      <c r="F59">
        <v>193884.698</v>
      </c>
      <c r="G59">
        <v>74.063999999999993</v>
      </c>
    </row>
    <row r="60" spans="1:7" x14ac:dyDescent="0.15">
      <c r="A60" s="74" t="s">
        <v>149</v>
      </c>
      <c r="B60">
        <v>821.96879999999999</v>
      </c>
      <c r="C60">
        <v>29.0867</v>
      </c>
      <c r="D60">
        <v>39.280900000000003</v>
      </c>
      <c r="E60">
        <v>41.561399999999999</v>
      </c>
      <c r="F60">
        <v>100839.90700000001</v>
      </c>
      <c r="G60">
        <v>59.850999999999999</v>
      </c>
    </row>
    <row r="61" spans="1:7" x14ac:dyDescent="0.15">
      <c r="A61" s="74" t="s">
        <v>150</v>
      </c>
      <c r="B61">
        <v>55146.403200000001</v>
      </c>
      <c r="C61">
        <v>36.479199999999999</v>
      </c>
      <c r="D61">
        <v>44.565899999999999</v>
      </c>
      <c r="E61">
        <v>44.870199999999997</v>
      </c>
      <c r="F61">
        <v>1576200.5519999999</v>
      </c>
      <c r="G61">
        <v>155.52199999999999</v>
      </c>
    </row>
    <row r="62" spans="1:7" x14ac:dyDescent="0.15">
      <c r="A62" s="74" t="s">
        <v>151</v>
      </c>
      <c r="B62">
        <v>24231.886399999999</v>
      </c>
      <c r="C62">
        <v>33.241300000000003</v>
      </c>
      <c r="D62">
        <v>42.845100000000002</v>
      </c>
      <c r="E62">
        <v>43.509399999999999</v>
      </c>
      <c r="F62">
        <v>956379.44</v>
      </c>
      <c r="G62">
        <v>118.303</v>
      </c>
    </row>
    <row r="63" spans="1:7" x14ac:dyDescent="0.15">
      <c r="A63" s="74" t="s">
        <v>152</v>
      </c>
      <c r="B63">
        <v>5534.5680000000002</v>
      </c>
      <c r="C63">
        <v>29.8887</v>
      </c>
      <c r="D63">
        <v>40.785400000000003</v>
      </c>
      <c r="E63">
        <v>41.938499999999998</v>
      </c>
      <c r="F63">
        <v>403869.05599999998</v>
      </c>
      <c r="G63">
        <v>82.757999999999996</v>
      </c>
    </row>
    <row r="64" spans="1:7" x14ac:dyDescent="0.15">
      <c r="A64" s="74" t="s">
        <v>153</v>
      </c>
      <c r="B64">
        <v>1234.4664</v>
      </c>
      <c r="C64">
        <v>26.837199999999999</v>
      </c>
      <c r="D64">
        <v>39.377699999999997</v>
      </c>
      <c r="E64">
        <v>40.702599999999997</v>
      </c>
      <c r="F64">
        <v>135109.204</v>
      </c>
      <c r="G64">
        <v>64.447000000000003</v>
      </c>
    </row>
    <row r="65" spans="1:7" x14ac:dyDescent="0.15">
      <c r="A65" s="74" t="s">
        <v>154</v>
      </c>
      <c r="B65">
        <v>10061.379199999999</v>
      </c>
      <c r="C65">
        <v>34.862400000000001</v>
      </c>
      <c r="D65">
        <v>41.483499999999999</v>
      </c>
      <c r="E65">
        <v>42.671199999999999</v>
      </c>
      <c r="F65">
        <v>356741.52</v>
      </c>
      <c r="G65">
        <v>35.433999999999997</v>
      </c>
    </row>
    <row r="66" spans="1:7" x14ac:dyDescent="0.15">
      <c r="A66" s="74" t="s">
        <v>155</v>
      </c>
      <c r="B66">
        <v>4910.3032000000003</v>
      </c>
      <c r="C66">
        <v>31.7835</v>
      </c>
      <c r="D66">
        <v>39.746299999999998</v>
      </c>
      <c r="E66">
        <v>41.243299999999998</v>
      </c>
      <c r="F66">
        <v>220784.984</v>
      </c>
      <c r="G66">
        <v>27.352</v>
      </c>
    </row>
    <row r="67" spans="1:7" x14ac:dyDescent="0.15">
      <c r="A67" s="74" t="s">
        <v>156</v>
      </c>
      <c r="B67">
        <v>1839.0239999999999</v>
      </c>
      <c r="C67">
        <v>28.439399999999999</v>
      </c>
      <c r="D67">
        <v>37.817999999999998</v>
      </c>
      <c r="E67">
        <v>39.617199999999997</v>
      </c>
      <c r="F67">
        <v>123808.06</v>
      </c>
      <c r="G67">
        <v>21.123000000000001</v>
      </c>
    </row>
    <row r="68" spans="1:7" x14ac:dyDescent="0.15">
      <c r="A68" s="74" t="s">
        <v>157</v>
      </c>
      <c r="B68">
        <v>635.65920000000006</v>
      </c>
      <c r="C68">
        <v>25.3643</v>
      </c>
      <c r="D68">
        <v>36.463900000000002</v>
      </c>
      <c r="E68">
        <v>38.332299999999996</v>
      </c>
      <c r="F68">
        <v>60052.701000000001</v>
      </c>
      <c r="G68">
        <v>17.341999999999999</v>
      </c>
    </row>
    <row r="69" spans="1:7" x14ac:dyDescent="0.15">
      <c r="A69" s="74" t="s">
        <v>158</v>
      </c>
      <c r="B69">
        <v>6842.0976000000001</v>
      </c>
      <c r="C69">
        <v>38.001399999999997</v>
      </c>
      <c r="D69">
        <v>44.877299999999998</v>
      </c>
      <c r="E69">
        <v>46.915399999999998</v>
      </c>
      <c r="F69">
        <v>231859.63200000001</v>
      </c>
      <c r="G69">
        <v>29.106999999999999</v>
      </c>
    </row>
    <row r="70" spans="1:7" x14ac:dyDescent="0.15">
      <c r="A70" s="74" t="s">
        <v>159</v>
      </c>
      <c r="B70">
        <v>3634.4751999999999</v>
      </c>
      <c r="C70">
        <v>35.447400000000002</v>
      </c>
      <c r="D70">
        <v>43.1126</v>
      </c>
      <c r="E70">
        <v>45.350999999999999</v>
      </c>
      <c r="F70">
        <v>151698.054</v>
      </c>
      <c r="G70">
        <v>25.527000000000001</v>
      </c>
    </row>
    <row r="71" spans="1:7" x14ac:dyDescent="0.15">
      <c r="A71" s="74" t="s">
        <v>160</v>
      </c>
      <c r="B71">
        <v>1611.5871999999999</v>
      </c>
      <c r="C71">
        <v>32.447699999999998</v>
      </c>
      <c r="D71">
        <v>41.042900000000003</v>
      </c>
      <c r="E71">
        <v>43.548999999999999</v>
      </c>
      <c r="F71">
        <v>90900.831999999995</v>
      </c>
      <c r="G71">
        <v>21.465</v>
      </c>
    </row>
    <row r="72" spans="1:7" x14ac:dyDescent="0.15">
      <c r="A72" s="74" t="s">
        <v>161</v>
      </c>
      <c r="B72">
        <v>707.95360000000005</v>
      </c>
      <c r="C72">
        <v>29.391300000000001</v>
      </c>
      <c r="D72">
        <v>39.427199999999999</v>
      </c>
      <c r="E72">
        <v>41.636400000000002</v>
      </c>
      <c r="F72">
        <v>50832.292999999998</v>
      </c>
      <c r="G72">
        <v>18.207999999999998</v>
      </c>
    </row>
    <row r="73" spans="1:7" x14ac:dyDescent="0.15">
      <c r="A73" s="74" t="s">
        <v>162</v>
      </c>
      <c r="B73">
        <v>2751.7784000000001</v>
      </c>
      <c r="C73">
        <v>35.161700000000003</v>
      </c>
      <c r="D73">
        <v>41.876899999999999</v>
      </c>
      <c r="E73">
        <v>42.328200000000002</v>
      </c>
      <c r="F73">
        <v>162790.986</v>
      </c>
      <c r="G73">
        <v>18.54</v>
      </c>
    </row>
    <row r="74" spans="1:7" x14ac:dyDescent="0.15">
      <c r="A74" s="74" t="s">
        <v>163</v>
      </c>
      <c r="B74">
        <v>1247.5776000000001</v>
      </c>
      <c r="C74">
        <v>32.092799999999997</v>
      </c>
      <c r="D74">
        <v>40.320300000000003</v>
      </c>
      <c r="E74">
        <v>40.947200000000002</v>
      </c>
      <c r="F74">
        <v>87759.725000000006</v>
      </c>
      <c r="G74">
        <v>15.731</v>
      </c>
    </row>
    <row r="75" spans="1:7" x14ac:dyDescent="0.15">
      <c r="A75" s="74" t="s">
        <v>164</v>
      </c>
      <c r="B75">
        <v>505.12479999999999</v>
      </c>
      <c r="C75">
        <v>28.619599999999998</v>
      </c>
      <c r="D75">
        <v>38.413400000000003</v>
      </c>
      <c r="E75">
        <v>39.256900000000002</v>
      </c>
      <c r="F75">
        <v>49064.396999999997</v>
      </c>
      <c r="G75">
        <v>14.497999999999999</v>
      </c>
    </row>
    <row r="76" spans="1:7" x14ac:dyDescent="0.15">
      <c r="A76" s="74" t="s">
        <v>165</v>
      </c>
      <c r="B76">
        <v>205.16640000000001</v>
      </c>
      <c r="C76">
        <v>25.3245</v>
      </c>
      <c r="D76">
        <v>37.1922</v>
      </c>
      <c r="E76">
        <v>38.189399999999999</v>
      </c>
      <c r="F76">
        <v>28914.427</v>
      </c>
      <c r="G76">
        <v>12.763</v>
      </c>
    </row>
    <row r="77" spans="1:7" x14ac:dyDescent="0.15">
      <c r="A77" s="74" t="s">
        <v>166</v>
      </c>
      <c r="B77">
        <v>7596.5487999999996</v>
      </c>
      <c r="C77">
        <v>35.944299999999998</v>
      </c>
      <c r="D77">
        <v>42.655799999999999</v>
      </c>
      <c r="E77">
        <v>44.070799999999998</v>
      </c>
      <c r="F77">
        <v>314693.94799999997</v>
      </c>
      <c r="G77">
        <v>32.948</v>
      </c>
    </row>
    <row r="78" spans="1:7" x14ac:dyDescent="0.15">
      <c r="A78" s="74" t="s">
        <v>167</v>
      </c>
      <c r="B78">
        <v>3442.2743999999998</v>
      </c>
      <c r="C78">
        <v>33.072299999999998</v>
      </c>
      <c r="D78">
        <v>40.905700000000003</v>
      </c>
      <c r="E78">
        <v>42.379899999999999</v>
      </c>
      <c r="F78">
        <v>177211.58600000001</v>
      </c>
      <c r="G78">
        <v>25.798999999999999</v>
      </c>
    </row>
    <row r="79" spans="1:7" x14ac:dyDescent="0.15">
      <c r="A79" s="74" t="s">
        <v>168</v>
      </c>
      <c r="B79">
        <v>1220.0064</v>
      </c>
      <c r="C79">
        <v>29.918099999999999</v>
      </c>
      <c r="D79">
        <v>38.8643</v>
      </c>
      <c r="E79">
        <v>40.2468</v>
      </c>
      <c r="F79">
        <v>91916.4</v>
      </c>
      <c r="G79">
        <v>20.827999999999999</v>
      </c>
    </row>
    <row r="80" spans="1:7" x14ac:dyDescent="0.15">
      <c r="A80" s="74" t="s">
        <v>169</v>
      </c>
      <c r="B80">
        <v>393.19040000000001</v>
      </c>
      <c r="C80">
        <v>26.953600000000002</v>
      </c>
      <c r="D80">
        <v>37.1935</v>
      </c>
      <c r="E80">
        <v>38.681399999999996</v>
      </c>
      <c r="F80">
        <v>43158.28</v>
      </c>
      <c r="G80">
        <v>16.422999999999998</v>
      </c>
    </row>
    <row r="81" spans="1:1" x14ac:dyDescent="0.15">
      <c r="A81" s="74"/>
    </row>
    <row r="82" spans="1:1" x14ac:dyDescent="0.15">
      <c r="A82" s="74"/>
    </row>
    <row r="83" spans="1:1" x14ac:dyDescent="0.15">
      <c r="A83" s="74"/>
    </row>
    <row r="84" spans="1:1" x14ac:dyDescent="0.15">
      <c r="A84" s="74"/>
    </row>
    <row r="85" spans="1:1" x14ac:dyDescent="0.15">
      <c r="A85" s="74"/>
    </row>
    <row r="86" spans="1:1" x14ac:dyDescent="0.15">
      <c r="A86" s="74"/>
    </row>
    <row r="87" spans="1:1" x14ac:dyDescent="0.15">
      <c r="A87" s="74"/>
    </row>
    <row r="88" spans="1:1" x14ac:dyDescent="0.15">
      <c r="A88" s="74"/>
    </row>
    <row r="89" spans="1:1" x14ac:dyDescent="0.15">
      <c r="A89" s="74"/>
    </row>
    <row r="90" spans="1:1" x14ac:dyDescent="0.15">
      <c r="A90" s="74"/>
    </row>
    <row r="91" spans="1:1" x14ac:dyDescent="0.15">
      <c r="A91" s="74"/>
    </row>
    <row r="92" spans="1:1" x14ac:dyDescent="0.15">
      <c r="A92" s="74"/>
    </row>
    <row r="93" spans="1:1" x14ac:dyDescent="0.15">
      <c r="A93" s="74"/>
    </row>
    <row r="94" spans="1:1" x14ac:dyDescent="0.15">
      <c r="A94" s="74"/>
    </row>
    <row r="95" spans="1:1" x14ac:dyDescent="0.15">
      <c r="A95" s="74"/>
    </row>
    <row r="96" spans="1:1" x14ac:dyDescent="0.15">
      <c r="A96" s="74"/>
    </row>
    <row r="97" spans="1:1" x14ac:dyDescent="0.15">
      <c r="A97" s="74"/>
    </row>
    <row r="98" spans="1:1" x14ac:dyDescent="0.15">
      <c r="A98" s="74"/>
    </row>
    <row r="99" spans="1:1" x14ac:dyDescent="0.15">
      <c r="A99" s="74"/>
    </row>
    <row r="100" spans="1:1" x14ac:dyDescent="0.15">
      <c r="A100" s="74"/>
    </row>
    <row r="101" spans="1:1" x14ac:dyDescent="0.15">
      <c r="A101" s="74"/>
    </row>
    <row r="102" spans="1:1" x14ac:dyDescent="0.15">
      <c r="A102" s="74"/>
    </row>
    <row r="103" spans="1:1" x14ac:dyDescent="0.15">
      <c r="A103" s="74"/>
    </row>
    <row r="104" spans="1:1" x14ac:dyDescent="0.15">
      <c r="A104" s="74"/>
    </row>
    <row r="105" spans="1:1" x14ac:dyDescent="0.15">
      <c r="A105" s="74"/>
    </row>
    <row r="106" spans="1:1" x14ac:dyDescent="0.15">
      <c r="A106" s="74"/>
    </row>
    <row r="107" spans="1:1" x14ac:dyDescent="0.15">
      <c r="A107" s="74"/>
    </row>
    <row r="108" spans="1:1" x14ac:dyDescent="0.15">
      <c r="A108" s="74"/>
    </row>
    <row r="109" spans="1:1" x14ac:dyDescent="0.15">
      <c r="A109" s="74"/>
    </row>
    <row r="110" spans="1:1" x14ac:dyDescent="0.15">
      <c r="A110" s="74"/>
    </row>
    <row r="111" spans="1:1" x14ac:dyDescent="0.15">
      <c r="A111" s="74"/>
    </row>
    <row r="112" spans="1:1" x14ac:dyDescent="0.15">
      <c r="A112" s="74"/>
    </row>
    <row r="113" spans="1:1" x14ac:dyDescent="0.15">
      <c r="A113" s="74"/>
    </row>
    <row r="114" spans="1:1" x14ac:dyDescent="0.15">
      <c r="A114" s="74"/>
    </row>
    <row r="115" spans="1:1" x14ac:dyDescent="0.15">
      <c r="A115" s="74"/>
    </row>
    <row r="116" spans="1:1" x14ac:dyDescent="0.15">
      <c r="A116" s="74"/>
    </row>
    <row r="117" spans="1:1" x14ac:dyDescent="0.15">
      <c r="A117" s="74"/>
    </row>
    <row r="118" spans="1:1" x14ac:dyDescent="0.15">
      <c r="A118" s="74"/>
    </row>
    <row r="119" spans="1:1" x14ac:dyDescent="0.15">
      <c r="A119" s="74"/>
    </row>
    <row r="120" spans="1:1" x14ac:dyDescent="0.15">
      <c r="A120" s="74"/>
    </row>
    <row r="121" spans="1:1" x14ac:dyDescent="0.15">
      <c r="A121" s="74"/>
    </row>
    <row r="122" spans="1:1" x14ac:dyDescent="0.15">
      <c r="A122" s="74"/>
    </row>
    <row r="123" spans="1:1" x14ac:dyDescent="0.15">
      <c r="A123" s="74"/>
    </row>
    <row r="124" spans="1:1" x14ac:dyDescent="0.15">
      <c r="A124" s="74"/>
    </row>
    <row r="125" spans="1:1" x14ac:dyDescent="0.15">
      <c r="A125" s="74"/>
    </row>
    <row r="126" spans="1:1" x14ac:dyDescent="0.15">
      <c r="A126" s="74"/>
    </row>
    <row r="127" spans="1:1" x14ac:dyDescent="0.15">
      <c r="A127" s="74"/>
    </row>
    <row r="128" spans="1:1" x14ac:dyDescent="0.15">
      <c r="A128" s="74"/>
    </row>
    <row r="129" spans="1:1" x14ac:dyDescent="0.15">
      <c r="A129" s="74"/>
    </row>
    <row r="130" spans="1:1" x14ac:dyDescent="0.15">
      <c r="A130" s="74"/>
    </row>
    <row r="131" spans="1:1" x14ac:dyDescent="0.15">
      <c r="A131" s="74"/>
    </row>
    <row r="132" spans="1:1" x14ac:dyDescent="0.15">
      <c r="A132" s="74"/>
    </row>
    <row r="133" spans="1:1" x14ac:dyDescent="0.15">
      <c r="A133" s="74"/>
    </row>
    <row r="134" spans="1:1" x14ac:dyDescent="0.15">
      <c r="A134" s="74"/>
    </row>
    <row r="135" spans="1:1" x14ac:dyDescent="0.15">
      <c r="A135" s="74"/>
    </row>
    <row r="136" spans="1:1" x14ac:dyDescent="0.15">
      <c r="A136" s="74"/>
    </row>
    <row r="137" spans="1:1" x14ac:dyDescent="0.15">
      <c r="A137" s="74"/>
    </row>
    <row r="138" spans="1:1" x14ac:dyDescent="0.15">
      <c r="A138" s="74"/>
    </row>
    <row r="139" spans="1:1" x14ac:dyDescent="0.15">
      <c r="A139" s="74"/>
    </row>
    <row r="140" spans="1:1" x14ac:dyDescent="0.15">
      <c r="A140" s="74"/>
    </row>
    <row r="141" spans="1:1" x14ac:dyDescent="0.15">
      <c r="A141" s="74"/>
    </row>
    <row r="142" spans="1:1" x14ac:dyDescent="0.15">
      <c r="A142" s="74"/>
    </row>
    <row r="143" spans="1:1" x14ac:dyDescent="0.15">
      <c r="A143" s="74"/>
    </row>
    <row r="144" spans="1:1" x14ac:dyDescent="0.15">
      <c r="A144" s="74"/>
    </row>
    <row r="145" spans="1:1" x14ac:dyDescent="0.15">
      <c r="A145" s="74"/>
    </row>
    <row r="146" spans="1:1" x14ac:dyDescent="0.15">
      <c r="A146" s="74"/>
    </row>
    <row r="147" spans="1:1" x14ac:dyDescent="0.15">
      <c r="A147" s="74"/>
    </row>
    <row r="148" spans="1:1" x14ac:dyDescent="0.15">
      <c r="A148" s="74"/>
    </row>
    <row r="149" spans="1:1" x14ac:dyDescent="0.15">
      <c r="A149" s="74"/>
    </row>
    <row r="150" spans="1:1" x14ac:dyDescent="0.15">
      <c r="A150" s="74"/>
    </row>
    <row r="151" spans="1:1" x14ac:dyDescent="0.15">
      <c r="A151" s="74"/>
    </row>
    <row r="152" spans="1:1" x14ac:dyDescent="0.15">
      <c r="A152" s="74"/>
    </row>
    <row r="153" spans="1:1" x14ac:dyDescent="0.15">
      <c r="A153" s="74"/>
    </row>
    <row r="154" spans="1:1" x14ac:dyDescent="0.15">
      <c r="A154" s="74"/>
    </row>
    <row r="155" spans="1:1" x14ac:dyDescent="0.15">
      <c r="A155" s="74"/>
    </row>
    <row r="156" spans="1:1" x14ac:dyDescent="0.15">
      <c r="A156" s="74"/>
    </row>
    <row r="157" spans="1:1" x14ac:dyDescent="0.15">
      <c r="A157" s="74"/>
    </row>
    <row r="158" spans="1:1" x14ac:dyDescent="0.15">
      <c r="A158" s="74"/>
    </row>
    <row r="159" spans="1:1" x14ac:dyDescent="0.15">
      <c r="A159" s="74"/>
    </row>
    <row r="160" spans="1:1" x14ac:dyDescent="0.15">
      <c r="A160" s="74"/>
    </row>
    <row r="161" spans="1:1" x14ac:dyDescent="0.15">
      <c r="A161" s="74"/>
    </row>
    <row r="162" spans="1:1" x14ac:dyDescent="0.15">
      <c r="A162" s="74"/>
    </row>
    <row r="163" spans="1:1" x14ac:dyDescent="0.15">
      <c r="A163" s="74"/>
    </row>
    <row r="164" spans="1:1" x14ac:dyDescent="0.15">
      <c r="A164" s="74"/>
    </row>
    <row r="165" spans="1:1" x14ac:dyDescent="0.15">
      <c r="A165" s="74"/>
    </row>
    <row r="166" spans="1:1" x14ac:dyDescent="0.15">
      <c r="A166" s="74"/>
    </row>
    <row r="167" spans="1:1" x14ac:dyDescent="0.15">
      <c r="A167" s="74"/>
    </row>
    <row r="168" spans="1:1" x14ac:dyDescent="0.15">
      <c r="A168" s="74"/>
    </row>
    <row r="169" spans="1:1" x14ac:dyDescent="0.15">
      <c r="A169" s="74"/>
    </row>
    <row r="170" spans="1:1" x14ac:dyDescent="0.15">
      <c r="A170" s="74"/>
    </row>
    <row r="171" spans="1:1" x14ac:dyDescent="0.15">
      <c r="A171" s="74"/>
    </row>
    <row r="172" spans="1:1" x14ac:dyDescent="0.15">
      <c r="A172" s="74"/>
    </row>
    <row r="173" spans="1:1" x14ac:dyDescent="0.15">
      <c r="A173" s="74"/>
    </row>
    <row r="174" spans="1:1" x14ac:dyDescent="0.15">
      <c r="A174" s="74"/>
    </row>
    <row r="175" spans="1:1" x14ac:dyDescent="0.15">
      <c r="A175" s="74"/>
    </row>
    <row r="176" spans="1:1" x14ac:dyDescent="0.15">
      <c r="A176" s="74"/>
    </row>
    <row r="177" spans="1:7" x14ac:dyDescent="0.15">
      <c r="A177" s="74"/>
      <c r="B177" s="53"/>
      <c r="C177" s="53"/>
      <c r="D177" s="53"/>
      <c r="E177" s="53"/>
      <c r="F177" s="53"/>
      <c r="G177" s="53"/>
    </row>
    <row r="178" spans="1:7" x14ac:dyDescent="0.15">
      <c r="A178" s="74"/>
      <c r="B178" s="53"/>
      <c r="C178" s="53"/>
      <c r="D178" s="53"/>
      <c r="E178" s="53"/>
      <c r="F178" s="53"/>
      <c r="G178" s="53"/>
    </row>
    <row r="179" spans="1:7" x14ac:dyDescent="0.15">
      <c r="A179" s="74"/>
      <c r="B179" s="53"/>
      <c r="C179" s="53"/>
      <c r="D179" s="53"/>
      <c r="E179" s="53"/>
      <c r="F179" s="53"/>
      <c r="G179" s="53"/>
    </row>
    <row r="180" spans="1:7" x14ac:dyDescent="0.15">
      <c r="A180" s="74"/>
      <c r="B180" s="53"/>
      <c r="C180" s="53"/>
      <c r="D180" s="53"/>
      <c r="E180" s="53"/>
      <c r="F180" s="53"/>
      <c r="G180" s="53"/>
    </row>
    <row r="181" spans="1:7" x14ac:dyDescent="0.15">
      <c r="A181" s="74"/>
      <c r="B181" s="53"/>
      <c r="C181" s="53"/>
      <c r="D181" s="53"/>
      <c r="E181" s="53"/>
      <c r="F181" s="53"/>
      <c r="G181" s="53"/>
    </row>
    <row r="182" spans="1:7" x14ac:dyDescent="0.15">
      <c r="A182" s="74"/>
      <c r="B182" s="53"/>
      <c r="C182" s="53"/>
      <c r="D182" s="53"/>
      <c r="E182" s="53"/>
      <c r="F182" s="53"/>
      <c r="G182" s="53"/>
    </row>
    <row r="183" spans="1:7" x14ac:dyDescent="0.15">
      <c r="A183" s="74"/>
      <c r="B183" s="53"/>
      <c r="C183" s="53"/>
      <c r="D183" s="53"/>
      <c r="E183" s="53"/>
      <c r="F183" s="53"/>
      <c r="G183" s="53"/>
    </row>
    <row r="184" spans="1:7" x14ac:dyDescent="0.15">
      <c r="A184" s="74"/>
      <c r="B184" s="53"/>
      <c r="C184" s="53"/>
      <c r="D184" s="53"/>
      <c r="E184" s="53"/>
      <c r="F184" s="53"/>
      <c r="G184" s="53"/>
    </row>
    <row r="185" spans="1:7" x14ac:dyDescent="0.15">
      <c r="A185" s="74"/>
      <c r="B185" s="53"/>
      <c r="C185" s="53"/>
      <c r="D185" s="53"/>
      <c r="E185" s="53"/>
      <c r="F185" s="53"/>
      <c r="G185" s="53"/>
    </row>
    <row r="186" spans="1:7" x14ac:dyDescent="0.15">
      <c r="A186" s="74"/>
      <c r="B186" s="53"/>
      <c r="C186" s="53"/>
      <c r="D186" s="53"/>
      <c r="E186" s="53"/>
      <c r="F186" s="53"/>
      <c r="G186" s="53"/>
    </row>
    <row r="187" spans="1:7" x14ac:dyDescent="0.15">
      <c r="A187" s="74"/>
      <c r="B187" s="53"/>
      <c r="C187" s="53"/>
      <c r="D187" s="53"/>
      <c r="E187" s="53"/>
      <c r="F187" s="53"/>
      <c r="G187" s="53"/>
    </row>
    <row r="188" spans="1:7" x14ac:dyDescent="0.15">
      <c r="A188" s="74"/>
      <c r="B188" s="53"/>
      <c r="C188" s="53"/>
      <c r="D188" s="53"/>
      <c r="E188" s="53"/>
      <c r="F188" s="53"/>
      <c r="G188" s="53"/>
    </row>
    <row r="189" spans="1:7" x14ac:dyDescent="0.15">
      <c r="A189" s="74"/>
      <c r="B189" s="53"/>
      <c r="C189" s="53"/>
      <c r="D189" s="53"/>
      <c r="E189" s="53"/>
      <c r="F189" s="53"/>
      <c r="G189" s="53"/>
    </row>
    <row r="190" spans="1:7" x14ac:dyDescent="0.15">
      <c r="A190" s="74"/>
      <c r="B190" s="53"/>
      <c r="C190" s="53"/>
      <c r="D190" s="53"/>
      <c r="E190" s="53"/>
      <c r="F190" s="53"/>
      <c r="G190" s="53"/>
    </row>
    <row r="191" spans="1:7" x14ac:dyDescent="0.15">
      <c r="A191" s="74"/>
      <c r="B191" s="53"/>
      <c r="C191" s="53"/>
      <c r="D191" s="53"/>
      <c r="E191" s="53"/>
      <c r="F191" s="53"/>
      <c r="G191" s="53"/>
    </row>
    <row r="192" spans="1:7" x14ac:dyDescent="0.15">
      <c r="A192" s="74"/>
      <c r="B192" s="53"/>
      <c r="C192" s="53"/>
      <c r="D192" s="53"/>
      <c r="E192" s="53"/>
      <c r="F192" s="53"/>
      <c r="G192" s="53"/>
    </row>
    <row r="193" spans="1:7" x14ac:dyDescent="0.15">
      <c r="A193" s="74"/>
      <c r="B193" s="53"/>
      <c r="C193" s="53"/>
      <c r="D193" s="53"/>
      <c r="E193" s="53"/>
      <c r="F193" s="53"/>
      <c r="G193" s="53"/>
    </row>
    <row r="194" spans="1:7" x14ac:dyDescent="0.15">
      <c r="A194" s="74"/>
      <c r="B194" s="53"/>
      <c r="C194" s="53"/>
      <c r="D194" s="53"/>
      <c r="E194" s="53"/>
      <c r="F194" s="53"/>
      <c r="G194" s="53"/>
    </row>
    <row r="195" spans="1:7" x14ac:dyDescent="0.15">
      <c r="A195" s="74"/>
      <c r="B195" s="53"/>
      <c r="C195" s="53"/>
      <c r="D195" s="53"/>
      <c r="E195" s="53"/>
      <c r="F195" s="53"/>
      <c r="G195" s="53"/>
    </row>
    <row r="196" spans="1:7" x14ac:dyDescent="0.15">
      <c r="A196" s="74"/>
      <c r="B196" s="53"/>
      <c r="C196" s="53"/>
      <c r="D196" s="53"/>
      <c r="E196" s="53"/>
      <c r="F196" s="53"/>
      <c r="G196" s="53"/>
    </row>
    <row r="197" spans="1:7" x14ac:dyDescent="0.15">
      <c r="A197" s="74"/>
      <c r="B197" s="53"/>
      <c r="C197" s="53"/>
      <c r="D197" s="53"/>
      <c r="E197" s="53"/>
      <c r="F197" s="53"/>
      <c r="G197" s="53"/>
    </row>
    <row r="198" spans="1:7" x14ac:dyDescent="0.15">
      <c r="A198" s="74"/>
      <c r="B198" s="53"/>
      <c r="C198" s="53"/>
      <c r="D198" s="53"/>
      <c r="E198" s="53"/>
      <c r="F198" s="53"/>
      <c r="G198" s="53"/>
    </row>
    <row r="199" spans="1:7" x14ac:dyDescent="0.15">
      <c r="A199" s="74"/>
      <c r="B199" s="53"/>
      <c r="C199" s="53"/>
      <c r="D199" s="53"/>
      <c r="E199" s="53"/>
      <c r="F199" s="53"/>
      <c r="G199" s="53"/>
    </row>
    <row r="200" spans="1:7" x14ac:dyDescent="0.15">
      <c r="A200" s="74"/>
      <c r="B200" s="53"/>
      <c r="C200" s="53"/>
      <c r="D200" s="53"/>
      <c r="E200" s="53"/>
      <c r="F200" s="53"/>
      <c r="G200" s="53"/>
    </row>
    <row r="201" spans="1:7" x14ac:dyDescent="0.15">
      <c r="A201" s="74"/>
      <c r="B201" s="53"/>
      <c r="C201" s="53"/>
      <c r="D201" s="53"/>
      <c r="E201" s="53"/>
      <c r="F201" s="53"/>
      <c r="G201" s="53"/>
    </row>
    <row r="202" spans="1:7" x14ac:dyDescent="0.15">
      <c r="A202" s="74"/>
      <c r="B202" s="53"/>
      <c r="C202" s="53"/>
      <c r="D202" s="53"/>
      <c r="E202" s="53"/>
      <c r="F202" s="53"/>
      <c r="G202" s="53"/>
    </row>
    <row r="203" spans="1:7" x14ac:dyDescent="0.15">
      <c r="A203" s="74"/>
      <c r="B203" s="53"/>
      <c r="C203" s="53"/>
      <c r="D203" s="53"/>
      <c r="E203" s="53"/>
      <c r="F203" s="53"/>
      <c r="G203" s="53"/>
    </row>
    <row r="204" spans="1:7" x14ac:dyDescent="0.15">
      <c r="A204" s="74"/>
      <c r="B204" s="53"/>
      <c r="C204" s="53"/>
      <c r="D204" s="53"/>
      <c r="E204" s="53"/>
      <c r="F204" s="53"/>
      <c r="G204" s="53"/>
    </row>
    <row r="205" spans="1:7" x14ac:dyDescent="0.15">
      <c r="A205" s="74"/>
      <c r="B205" s="53"/>
      <c r="C205" s="53"/>
      <c r="D205" s="53"/>
      <c r="E205" s="53"/>
      <c r="F205" s="53"/>
      <c r="G205" s="53"/>
    </row>
    <row r="206" spans="1:7" x14ac:dyDescent="0.15">
      <c r="A206" s="74"/>
      <c r="B206" s="53"/>
      <c r="C206" s="53"/>
      <c r="D206" s="53"/>
      <c r="E206" s="53"/>
      <c r="F206" s="53"/>
      <c r="G206" s="53"/>
    </row>
    <row r="207" spans="1:7" x14ac:dyDescent="0.15">
      <c r="A207" s="74"/>
      <c r="B207" s="53"/>
      <c r="C207" s="53"/>
      <c r="D207" s="53"/>
      <c r="E207" s="53"/>
      <c r="F207" s="53"/>
      <c r="G207" s="53"/>
    </row>
    <row r="208" spans="1:7" x14ac:dyDescent="0.15">
      <c r="A208" s="74"/>
      <c r="B208" s="53"/>
      <c r="C208" s="53"/>
      <c r="D208" s="53"/>
      <c r="E208" s="53"/>
      <c r="F208" s="53"/>
      <c r="G208" s="53"/>
    </row>
    <row r="209" spans="1:7" x14ac:dyDescent="0.15">
      <c r="A209" s="74"/>
      <c r="B209" s="53"/>
      <c r="C209" s="53"/>
      <c r="D209" s="53"/>
      <c r="E209" s="53"/>
      <c r="F209" s="53"/>
      <c r="G209" s="53"/>
    </row>
    <row r="210" spans="1:7" x14ac:dyDescent="0.15">
      <c r="A210" s="74"/>
      <c r="B210" s="53"/>
      <c r="C210" s="53"/>
      <c r="D210" s="53"/>
      <c r="E210" s="53"/>
      <c r="F210" s="53"/>
      <c r="G210" s="53"/>
    </row>
    <row r="211" spans="1:7" x14ac:dyDescent="0.15">
      <c r="A211" s="74"/>
      <c r="B211" s="53"/>
      <c r="C211" s="53"/>
      <c r="D211" s="53"/>
      <c r="E211" s="53"/>
      <c r="F211" s="53"/>
      <c r="G211" s="53"/>
    </row>
    <row r="212" spans="1:7" x14ac:dyDescent="0.15">
      <c r="A212" s="74"/>
      <c r="B212" s="53"/>
      <c r="C212" s="53"/>
      <c r="D212" s="53"/>
      <c r="E212" s="53"/>
      <c r="F212" s="53"/>
      <c r="G212" s="53"/>
    </row>
    <row r="213" spans="1:7" x14ac:dyDescent="0.15">
      <c r="A213" s="74"/>
      <c r="B213" s="53"/>
      <c r="C213" s="53"/>
      <c r="D213" s="53"/>
      <c r="E213" s="53"/>
      <c r="F213" s="53"/>
      <c r="G213" s="53"/>
    </row>
    <row r="214" spans="1:7" x14ac:dyDescent="0.15">
      <c r="A214" s="74"/>
      <c r="B214" s="53"/>
      <c r="C214" s="53"/>
      <c r="D214" s="53"/>
      <c r="E214" s="53"/>
      <c r="F214" s="53"/>
      <c r="G214" s="53"/>
    </row>
    <row r="215" spans="1:7" x14ac:dyDescent="0.15">
      <c r="A215" s="74"/>
      <c r="B215" s="53"/>
      <c r="C215" s="53"/>
      <c r="D215" s="53"/>
      <c r="E215" s="53"/>
      <c r="F215" s="53"/>
      <c r="G215" s="53"/>
    </row>
    <row r="216" spans="1:7" x14ac:dyDescent="0.15">
      <c r="A216" s="74"/>
      <c r="B216" s="53"/>
      <c r="C216" s="53"/>
      <c r="D216" s="53"/>
      <c r="E216" s="53"/>
      <c r="F216" s="53"/>
      <c r="G216" s="53"/>
    </row>
    <row r="217" spans="1:7" x14ac:dyDescent="0.15">
      <c r="A217" s="74"/>
      <c r="B217" s="53"/>
      <c r="C217" s="53"/>
      <c r="D217" s="53"/>
      <c r="E217" s="53"/>
      <c r="F217" s="53"/>
      <c r="G217" s="53"/>
    </row>
    <row r="218" spans="1:7" x14ac:dyDescent="0.15">
      <c r="A218" s="74"/>
      <c r="B218" s="53"/>
      <c r="C218" s="53"/>
      <c r="D218" s="53"/>
      <c r="E218" s="53"/>
      <c r="F218" s="53"/>
      <c r="G218" s="53"/>
    </row>
    <row r="219" spans="1:7" x14ac:dyDescent="0.15">
      <c r="A219" s="74"/>
      <c r="B219" s="53"/>
      <c r="C219" s="53"/>
      <c r="D219" s="53"/>
      <c r="E219" s="53"/>
      <c r="F219" s="53"/>
      <c r="G219" s="53"/>
    </row>
    <row r="220" spans="1:7" x14ac:dyDescent="0.15">
      <c r="A220" s="74"/>
      <c r="B220" s="53"/>
      <c r="C220" s="53"/>
      <c r="D220" s="53"/>
      <c r="E220" s="53"/>
      <c r="F220" s="53"/>
      <c r="G220" s="53"/>
    </row>
    <row r="221" spans="1:7" x14ac:dyDescent="0.15">
      <c r="A221" s="74"/>
      <c r="B221" s="53"/>
      <c r="C221" s="53"/>
      <c r="D221" s="53"/>
      <c r="E221" s="53"/>
      <c r="F221" s="53"/>
      <c r="G221" s="53"/>
    </row>
    <row r="222" spans="1:7" x14ac:dyDescent="0.15">
      <c r="A222" s="74"/>
      <c r="B222" s="53"/>
      <c r="C222" s="53"/>
      <c r="D222" s="53"/>
      <c r="E222" s="53"/>
      <c r="F222" s="53"/>
      <c r="G222" s="53"/>
    </row>
    <row r="223" spans="1:7" x14ac:dyDescent="0.15">
      <c r="A223" s="74"/>
      <c r="B223" s="53"/>
      <c r="C223" s="53"/>
      <c r="D223" s="53"/>
      <c r="E223" s="53"/>
      <c r="F223" s="53"/>
      <c r="G223" s="53"/>
    </row>
    <row r="224" spans="1:7" x14ac:dyDescent="0.15">
      <c r="A224" s="74"/>
      <c r="B224" s="53"/>
      <c r="C224" s="53"/>
      <c r="D224" s="53"/>
      <c r="E224" s="53"/>
      <c r="F224" s="53"/>
      <c r="G224" s="53"/>
    </row>
    <row r="225" spans="1:7" x14ac:dyDescent="0.15">
      <c r="A225" s="74"/>
      <c r="B225" s="53"/>
      <c r="C225" s="53"/>
      <c r="D225" s="53"/>
      <c r="E225" s="53"/>
      <c r="F225" s="53"/>
      <c r="G225" s="53"/>
    </row>
    <row r="226" spans="1:7" x14ac:dyDescent="0.15">
      <c r="A226" s="74"/>
      <c r="B226" s="53"/>
      <c r="C226" s="53"/>
      <c r="D226" s="53"/>
      <c r="E226" s="53"/>
      <c r="F226" s="53"/>
      <c r="G226" s="53"/>
    </row>
    <row r="227" spans="1:7" x14ac:dyDescent="0.15">
      <c r="A227" s="74"/>
      <c r="B227" s="53"/>
      <c r="C227" s="53"/>
      <c r="D227" s="53"/>
      <c r="E227" s="53"/>
      <c r="F227" s="53"/>
      <c r="G227" s="53"/>
    </row>
    <row r="228" spans="1:7" x14ac:dyDescent="0.15">
      <c r="A228" s="74"/>
      <c r="B228" s="53"/>
      <c r="C228" s="53"/>
      <c r="D228" s="53"/>
      <c r="E228" s="53"/>
      <c r="F228" s="53"/>
      <c r="G228" s="53"/>
    </row>
    <row r="229" spans="1:7" x14ac:dyDescent="0.15">
      <c r="A229" s="74"/>
      <c r="B229" s="53"/>
      <c r="C229" s="53"/>
      <c r="D229" s="53"/>
      <c r="E229" s="53"/>
      <c r="F229" s="53"/>
      <c r="G229" s="53"/>
    </row>
    <row r="230" spans="1:7" x14ac:dyDescent="0.15">
      <c r="A230" s="74"/>
      <c r="B230" s="53"/>
      <c r="C230" s="53"/>
      <c r="D230" s="53"/>
      <c r="E230" s="53"/>
      <c r="F230" s="53"/>
      <c r="G230" s="53"/>
    </row>
    <row r="231" spans="1:7" x14ac:dyDescent="0.15">
      <c r="A231" s="74"/>
      <c r="B231" s="53"/>
      <c r="C231" s="53"/>
      <c r="D231" s="53"/>
      <c r="E231" s="53"/>
      <c r="F231" s="53"/>
      <c r="G231" s="53"/>
    </row>
    <row r="232" spans="1:7" x14ac:dyDescent="0.15">
      <c r="A232" s="74"/>
      <c r="B232" s="53"/>
      <c r="C232" s="53"/>
      <c r="D232" s="53"/>
      <c r="E232" s="53"/>
      <c r="F232" s="53"/>
      <c r="G232" s="53"/>
    </row>
    <row r="233" spans="1:7" x14ac:dyDescent="0.15">
      <c r="A233" s="74"/>
      <c r="B233" s="53"/>
      <c r="C233" s="53"/>
      <c r="D233" s="53"/>
      <c r="E233" s="53"/>
      <c r="F233" s="53"/>
      <c r="G233" s="53"/>
    </row>
    <row r="234" spans="1:7" x14ac:dyDescent="0.15">
      <c r="A234" s="74"/>
      <c r="B234" s="53"/>
      <c r="C234" s="53"/>
      <c r="D234" s="53"/>
      <c r="E234" s="53"/>
      <c r="F234" s="53"/>
      <c r="G234" s="53"/>
    </row>
    <row r="235" spans="1:7" x14ac:dyDescent="0.15">
      <c r="A235" s="74"/>
      <c r="B235" s="53"/>
      <c r="C235" s="53"/>
      <c r="D235" s="53"/>
      <c r="E235" s="53"/>
      <c r="F235" s="53"/>
      <c r="G235" s="53"/>
    </row>
    <row r="236" spans="1:7" x14ac:dyDescent="0.15">
      <c r="A236" s="74"/>
      <c r="B236" s="53"/>
      <c r="C236" s="53"/>
      <c r="D236" s="53"/>
      <c r="E236" s="53"/>
      <c r="F236" s="53"/>
      <c r="G236" s="53"/>
    </row>
    <row r="237" spans="1:7" x14ac:dyDescent="0.15">
      <c r="A237" s="74"/>
      <c r="B237" s="53"/>
      <c r="C237" s="53"/>
      <c r="D237" s="53"/>
      <c r="E237" s="53"/>
      <c r="F237" s="53"/>
      <c r="G237" s="53"/>
    </row>
    <row r="238" spans="1:7" x14ac:dyDescent="0.15">
      <c r="A238" s="74"/>
      <c r="B238" s="53"/>
      <c r="C238" s="53"/>
      <c r="D238" s="53"/>
      <c r="E238" s="53"/>
      <c r="F238" s="53"/>
      <c r="G238" s="53"/>
    </row>
    <row r="239" spans="1:7" x14ac:dyDescent="0.15">
      <c r="A239" s="74"/>
      <c r="B239" s="53"/>
      <c r="C239" s="53"/>
      <c r="D239" s="53"/>
      <c r="E239" s="53"/>
      <c r="F239" s="53"/>
      <c r="G239" s="53"/>
    </row>
    <row r="240" spans="1:7" x14ac:dyDescent="0.15">
      <c r="A240" s="74"/>
      <c r="B240" s="53"/>
      <c r="C240" s="53"/>
      <c r="D240" s="53"/>
      <c r="E240" s="53"/>
      <c r="F240" s="53"/>
      <c r="G240" s="53"/>
    </row>
    <row r="241" spans="1:7" x14ac:dyDescent="0.15">
      <c r="A241" s="74"/>
      <c r="B241" s="53"/>
      <c r="C241" s="53"/>
      <c r="D241" s="53"/>
      <c r="E241" s="53"/>
      <c r="F241" s="53"/>
      <c r="G241" s="53"/>
    </row>
    <row r="242" spans="1:7" x14ac:dyDescent="0.15">
      <c r="A242" s="74"/>
      <c r="B242" s="53"/>
      <c r="C242" s="53"/>
      <c r="D242" s="53"/>
      <c r="E242" s="53"/>
      <c r="F242" s="53"/>
      <c r="G242" s="53"/>
    </row>
    <row r="243" spans="1:7" x14ac:dyDescent="0.15">
      <c r="A243" s="74"/>
      <c r="B243" s="53"/>
      <c r="C243" s="53"/>
      <c r="D243" s="53"/>
      <c r="E243" s="53"/>
      <c r="F243" s="53"/>
      <c r="G243" s="53"/>
    </row>
    <row r="244" spans="1:7" x14ac:dyDescent="0.15">
      <c r="A244" s="74"/>
      <c r="B244" s="53"/>
      <c r="C244" s="53"/>
      <c r="D244" s="53"/>
      <c r="E244" s="53"/>
      <c r="F244" s="53"/>
      <c r="G244" s="53"/>
    </row>
    <row r="245" spans="1:7" x14ac:dyDescent="0.15">
      <c r="A245" s="74"/>
      <c r="B245" s="53"/>
      <c r="C245" s="53"/>
      <c r="D245" s="53"/>
      <c r="E245" s="53"/>
      <c r="F245" s="53"/>
      <c r="G245" s="53"/>
    </row>
    <row r="246" spans="1:7" x14ac:dyDescent="0.15">
      <c r="A246" s="74"/>
      <c r="B246" s="53"/>
      <c r="C246" s="53"/>
      <c r="D246" s="53"/>
      <c r="E246" s="53"/>
      <c r="F246" s="53"/>
      <c r="G246" s="53"/>
    </row>
    <row r="247" spans="1:7" x14ac:dyDescent="0.15">
      <c r="A247" s="74"/>
      <c r="B247" s="53"/>
      <c r="C247" s="53"/>
      <c r="D247" s="53"/>
      <c r="E247" s="53"/>
      <c r="F247" s="53"/>
      <c r="G247" s="53"/>
    </row>
    <row r="248" spans="1:7" x14ac:dyDescent="0.15">
      <c r="A248" s="74"/>
      <c r="B248" s="53"/>
      <c r="C248" s="53"/>
      <c r="D248" s="53"/>
      <c r="E248" s="53"/>
      <c r="F248" s="53"/>
      <c r="G248" s="53"/>
    </row>
    <row r="249" spans="1:7" x14ac:dyDescent="0.15">
      <c r="A249" s="74"/>
      <c r="B249" s="53"/>
      <c r="C249" s="53"/>
      <c r="D249" s="53"/>
      <c r="E249" s="53"/>
      <c r="F249" s="53"/>
      <c r="G249" s="53"/>
    </row>
    <row r="250" spans="1:7" x14ac:dyDescent="0.15">
      <c r="A250" s="74"/>
      <c r="B250" s="53"/>
      <c r="C250" s="53"/>
      <c r="D250" s="53"/>
      <c r="E250" s="53"/>
      <c r="F250" s="53"/>
      <c r="G250" s="53"/>
    </row>
    <row r="251" spans="1:7" x14ac:dyDescent="0.15">
      <c r="A251" s="74"/>
      <c r="B251" s="53"/>
      <c r="C251" s="53"/>
      <c r="D251" s="53"/>
      <c r="E251" s="53"/>
      <c r="F251" s="53"/>
      <c r="G251" s="53"/>
    </row>
    <row r="252" spans="1:7" x14ac:dyDescent="0.15">
      <c r="A252" s="74"/>
      <c r="B252" s="53"/>
      <c r="C252" s="53"/>
      <c r="D252" s="53"/>
      <c r="E252" s="53"/>
      <c r="F252" s="53"/>
      <c r="G252" s="53"/>
    </row>
    <row r="253" spans="1:7" x14ac:dyDescent="0.15">
      <c r="A253" s="74"/>
      <c r="B253" s="53"/>
      <c r="C253" s="53"/>
      <c r="D253" s="53"/>
      <c r="E253" s="53"/>
      <c r="F253" s="53"/>
      <c r="G253" s="53"/>
    </row>
    <row r="254" spans="1:7" x14ac:dyDescent="0.15">
      <c r="A254" s="74"/>
      <c r="B254" s="53"/>
      <c r="C254" s="53"/>
      <c r="D254" s="53"/>
      <c r="E254" s="53"/>
      <c r="F254" s="53"/>
      <c r="G254" s="53"/>
    </row>
    <row r="255" spans="1:7" x14ac:dyDescent="0.15">
      <c r="A255" s="74"/>
      <c r="B255" s="53"/>
      <c r="C255" s="53"/>
      <c r="D255" s="53"/>
      <c r="E255" s="53"/>
      <c r="F255" s="53"/>
      <c r="G255" s="53"/>
    </row>
    <row r="256" spans="1:7" x14ac:dyDescent="0.15">
      <c r="A256" s="74"/>
      <c r="B256" s="53"/>
      <c r="C256" s="53"/>
      <c r="D256" s="53"/>
      <c r="E256" s="53"/>
      <c r="F256" s="53"/>
      <c r="G256" s="53"/>
    </row>
    <row r="257" spans="1:7" x14ac:dyDescent="0.15">
      <c r="A257" s="74"/>
      <c r="B257" s="53"/>
      <c r="C257" s="53"/>
      <c r="D257" s="53"/>
      <c r="E257" s="53"/>
      <c r="F257" s="53"/>
      <c r="G257" s="53"/>
    </row>
    <row r="258" spans="1:7" x14ac:dyDescent="0.15">
      <c r="A258" s="74"/>
      <c r="B258" s="53"/>
      <c r="C258" s="53"/>
      <c r="D258" s="53"/>
      <c r="E258" s="53"/>
      <c r="F258" s="53"/>
      <c r="G258" s="53"/>
    </row>
    <row r="259" spans="1:7" x14ac:dyDescent="0.15">
      <c r="A259" s="74"/>
      <c r="B259" s="53"/>
      <c r="C259" s="53"/>
      <c r="D259" s="53"/>
      <c r="E259" s="53"/>
      <c r="F259" s="53"/>
      <c r="G259" s="53"/>
    </row>
    <row r="260" spans="1:7" x14ac:dyDescent="0.15">
      <c r="A260" s="74"/>
      <c r="B260" s="53"/>
      <c r="C260" s="53"/>
      <c r="D260" s="53"/>
      <c r="E260" s="53"/>
      <c r="F260" s="53"/>
      <c r="G260" s="53"/>
    </row>
    <row r="261" spans="1:7" x14ac:dyDescent="0.15">
      <c r="A261" s="74"/>
      <c r="B261" s="53"/>
      <c r="C261" s="53"/>
      <c r="D261" s="53"/>
      <c r="E261" s="53"/>
      <c r="F261" s="53"/>
      <c r="G261" s="53"/>
    </row>
    <row r="262" spans="1:7" x14ac:dyDescent="0.15">
      <c r="A262" s="74"/>
      <c r="B262" s="53"/>
      <c r="C262" s="53"/>
      <c r="D262" s="53"/>
      <c r="E262" s="53"/>
      <c r="F262" s="53"/>
      <c r="G262" s="53"/>
    </row>
    <row r="263" spans="1:7" x14ac:dyDescent="0.15">
      <c r="A263" s="74"/>
      <c r="B263" s="53"/>
      <c r="C263" s="53"/>
      <c r="D263" s="53"/>
      <c r="E263" s="53"/>
      <c r="F263" s="53"/>
      <c r="G263" s="53"/>
    </row>
    <row r="264" spans="1:7" x14ac:dyDescent="0.15">
      <c r="A264" s="74"/>
      <c r="B264" s="53"/>
      <c r="C264" s="53"/>
      <c r="D264" s="53"/>
      <c r="E264" s="53"/>
      <c r="F264" s="53"/>
      <c r="G264" s="53"/>
    </row>
    <row r="265" spans="1:7" x14ac:dyDescent="0.15">
      <c r="A265" s="74"/>
    </row>
    <row r="266" spans="1:7" x14ac:dyDescent="0.15">
      <c r="A266" s="74"/>
    </row>
    <row r="267" spans="1:7" x14ac:dyDescent="0.15">
      <c r="A267" s="74"/>
    </row>
    <row r="268" spans="1:7" x14ac:dyDescent="0.15">
      <c r="A268" s="74"/>
    </row>
    <row r="269" spans="1:7" x14ac:dyDescent="0.15">
      <c r="A269" s="74"/>
    </row>
    <row r="270" spans="1:7" x14ac:dyDescent="0.15">
      <c r="A270" s="74"/>
    </row>
    <row r="271" spans="1:7" x14ac:dyDescent="0.15">
      <c r="A271" s="74"/>
    </row>
    <row r="272" spans="1:7" x14ac:dyDescent="0.15">
      <c r="A272" s="74"/>
    </row>
    <row r="273" spans="1:1" x14ac:dyDescent="0.15">
      <c r="A273" s="74"/>
    </row>
    <row r="274" spans="1:1" x14ac:dyDescent="0.15">
      <c r="A274" s="74"/>
    </row>
    <row r="275" spans="1:1" x14ac:dyDescent="0.15">
      <c r="A275" s="74"/>
    </row>
    <row r="276" spans="1:1" x14ac:dyDescent="0.15">
      <c r="A276" s="74"/>
    </row>
    <row r="277" spans="1:1" x14ac:dyDescent="0.15">
      <c r="A277" s="74"/>
    </row>
    <row r="278" spans="1:1" x14ac:dyDescent="0.15">
      <c r="A278" s="74"/>
    </row>
    <row r="279" spans="1:1" x14ac:dyDescent="0.15">
      <c r="A279" s="74"/>
    </row>
    <row r="280" spans="1:1" x14ac:dyDescent="0.15">
      <c r="A280" s="74"/>
    </row>
    <row r="281" spans="1:1" x14ac:dyDescent="0.15">
      <c r="A281" s="74"/>
    </row>
    <row r="282" spans="1:1" x14ac:dyDescent="0.15">
      <c r="A282" s="74"/>
    </row>
    <row r="283" spans="1:1" x14ac:dyDescent="0.15">
      <c r="A283" s="74"/>
    </row>
    <row r="284" spans="1:1" x14ac:dyDescent="0.15">
      <c r="A284" s="74"/>
    </row>
    <row r="285" spans="1:1" x14ac:dyDescent="0.15">
      <c r="A285" s="74"/>
    </row>
    <row r="286" spans="1:1" x14ac:dyDescent="0.15">
      <c r="A286" s="74"/>
    </row>
    <row r="287" spans="1:1" x14ac:dyDescent="0.15">
      <c r="A287" s="74"/>
    </row>
    <row r="288" spans="1:1" x14ac:dyDescent="0.15">
      <c r="A288" s="74"/>
    </row>
  </sheetData>
  <phoneticPr fontId="8" type="noConversion"/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Summary_SEQ</vt:lpstr>
      <vt:lpstr>Plot</vt:lpstr>
      <vt:lpstr>IPPP</vt:lpstr>
      <vt:lpstr>IPPPCRR</vt:lpstr>
      <vt:lpstr>Reference</vt:lpstr>
      <vt:lpstr>Test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#765</cp:lastModifiedBy>
  <dcterms:created xsi:type="dcterms:W3CDTF">2011-06-30T00:09:01Z</dcterms:created>
  <dcterms:modified xsi:type="dcterms:W3CDTF">2020-05-26T06:09:58Z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-1180895938</vt:i4>
  </property>
  <property fmtid="{D5CDD505-2E9C-101B-9397-08002B2CF9AE}" pid="3" name="_NewReviewCycle">
    <vt:lpwstr/>
  </property>
  <property fmtid="{D5CDD505-2E9C-101B-9397-08002B2CF9AE}" pid="4" name="_EmailSubject">
    <vt:lpwstr>updated CTC doc(Internet mail)</vt:lpwstr>
  </property>
  <property fmtid="{D5CDD505-2E9C-101B-9397-08002B2CF9AE}" pid="5" name="_AuthorEmail">
    <vt:lpwstr>vseregin@qti.qualcomm.com</vt:lpwstr>
  </property>
  <property fmtid="{D5CDD505-2E9C-101B-9397-08002B2CF9AE}" pid="6" name="_AuthorEmailDisplayName">
    <vt:lpwstr>Vadim Seregin</vt:lpwstr>
  </property>
  <property fmtid="{D5CDD505-2E9C-101B-9397-08002B2CF9AE}" pid="7" name="_PreviousAdHocReviewCycleID">
    <vt:i4>1881523464</vt:i4>
  </property>
  <property fmtid="{D5CDD505-2E9C-101B-9397-08002B2CF9AE}" pid="8" name="_ReviewingToolsShownOnce">
    <vt:lpwstr/>
  </property>
  <property fmtid="{D5CDD505-2E9C-101B-9397-08002B2CF9AE}" pid="9" name="TitusGUID">
    <vt:lpwstr>202bb8b5-c496-4aad-94dd-0528cd977255</vt:lpwstr>
  </property>
  <property fmtid="{D5CDD505-2E9C-101B-9397-08002B2CF9AE}" pid="10" name="CTP_TimeStamp">
    <vt:lpwstr>2018-04-23 23:26:23Z</vt:lpwstr>
  </property>
  <property fmtid="{D5CDD505-2E9C-101B-9397-08002B2CF9AE}" pid="11" name="CTP_BU">
    <vt:lpwstr>NA</vt:lpwstr>
  </property>
  <property fmtid="{D5CDD505-2E9C-101B-9397-08002B2CF9AE}" pid="12" name="CTP_IDSID">
    <vt:lpwstr>NA</vt:lpwstr>
  </property>
  <property fmtid="{D5CDD505-2E9C-101B-9397-08002B2CF9AE}" pid="13" name="CTP_WWID">
    <vt:lpwstr>NA</vt:lpwstr>
  </property>
  <property fmtid="{D5CDD505-2E9C-101B-9397-08002B2CF9AE}" pid="14" name="CTPClassification">
    <vt:lpwstr>CTP_NT</vt:lpwstr>
  </property>
  <property fmtid="{D5CDD505-2E9C-101B-9397-08002B2CF9AE}" pid="15" name="_2015_ms_pID_725343">
    <vt:lpwstr>(3)cp3ea6YJexemsU1/azXwWrJcyJIgX9nYc2mzArOdw5VrSnzSuA+LX3emfHSZlnsuloaOUAEc
2pn4VSvjGNb6XctacbI7D/3xhM1Kt/rJBf/pari2EHfFhzb/dgsGZjQiYhiFAzIa6EDw0nSP
KB7CCGmwUzhKqaKAUNq2jDWYFMEfk2fLH6XoNk3NyLHy0V/inufFlJNh02jgK4u3T3rNQQZP
fqqJIVnF2lQVYRPM+R</vt:lpwstr>
  </property>
  <property fmtid="{D5CDD505-2E9C-101B-9397-08002B2CF9AE}" pid="16" name="_2015_ms_pID_7253431">
    <vt:lpwstr>5H3wWKkIlCjMTl7sup/R4g5W5n+J1cm+WgyDRjuz0NxFysC54oe1S+
kvtJPjzKpQcxT1B2/B/m+LmGZRFDixWkQz/CZSR9PywTfhZ3TDQkCrrv7AsZ3WVuOVg1ob+h
X+DAbVUF2He8vjSt14XZA3kHLpTtQ6z0CyxxmY9/IPjNW80+BpeebQbBiZQZZ/r9xEneV1hI
sWuWDhrvVgTnTl9t/E+oB8sgz8qHNGDU5+cZ</vt:lpwstr>
  </property>
  <property fmtid="{D5CDD505-2E9C-101B-9397-08002B2CF9AE}" pid="17" name="_readonly">
    <vt:lpwstr/>
  </property>
  <property fmtid="{D5CDD505-2E9C-101B-9397-08002B2CF9AE}" pid="18" name="_change">
    <vt:lpwstr/>
  </property>
  <property fmtid="{D5CDD505-2E9C-101B-9397-08002B2CF9AE}" pid="19" name="_full-control">
    <vt:lpwstr/>
  </property>
  <property fmtid="{D5CDD505-2E9C-101B-9397-08002B2CF9AE}" pid="20" name="sflag">
    <vt:lpwstr>1548221515</vt:lpwstr>
  </property>
  <property fmtid="{D5CDD505-2E9C-101B-9397-08002B2CF9AE}" pid="21" name="_2015_ms_pID_7253432">
    <vt:lpwstr>vw==</vt:lpwstr>
  </property>
</Properties>
</file>