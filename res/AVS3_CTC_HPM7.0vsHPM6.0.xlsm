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z_working_code_H266\HPM_test\hpm\res\"/>
    </mc:Choice>
  </mc:AlternateContent>
  <bookViews>
    <workbookView xWindow="0" yWindow="0" windowWidth="28215" windowHeight="13500" tabRatio="884" activeTab="1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8"/>
  <definedNames>
    <definedName name="_xlnm._FilterDatabase" localSheetId="2" hidden="1">Plot!$A$1:$B$2</definedName>
  </definedNames>
  <calcPr calcId="152511"/>
</workbook>
</file>

<file path=xl/calcChain.xml><?xml version="1.0" encoding="utf-8"?>
<calcChain xmlns="http://schemas.openxmlformats.org/spreadsheetml/2006/main">
  <c r="AB18" i="10" l="1"/>
  <c r="AB19" i="10"/>
  <c r="AB20" i="10"/>
  <c r="AB17" i="10"/>
  <c r="B50" i="30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T74" i="29"/>
  <c r="P74" i="29"/>
  <c r="O74" i="29"/>
  <c r="N74" i="29"/>
  <c r="M74" i="29"/>
  <c r="L74" i="29"/>
  <c r="H74" i="29"/>
  <c r="G74" i="29"/>
  <c r="F74" i="29"/>
  <c r="E74" i="29"/>
  <c r="D74" i="29"/>
  <c r="Q73" i="29"/>
  <c r="P73" i="29"/>
  <c r="S73" i="29" s="1"/>
  <c r="R73" i="29"/>
  <c r="O73" i="29"/>
  <c r="N73" i="29"/>
  <c r="M73" i="29"/>
  <c r="L73" i="29"/>
  <c r="I73" i="29"/>
  <c r="H73" i="29"/>
  <c r="J73" i="29"/>
  <c r="G73" i="29"/>
  <c r="F73" i="29"/>
  <c r="E73" i="29"/>
  <c r="D73" i="29"/>
  <c r="Q72" i="29"/>
  <c r="T72" i="29" s="1"/>
  <c r="I72" i="29"/>
  <c r="P72" i="29"/>
  <c r="H72" i="29"/>
  <c r="S72" i="29"/>
  <c r="R72" i="29"/>
  <c r="O72" i="29"/>
  <c r="N72" i="29"/>
  <c r="M72" i="29"/>
  <c r="L72" i="29"/>
  <c r="J72" i="29"/>
  <c r="G72" i="29"/>
  <c r="F72" i="29"/>
  <c r="E72" i="29"/>
  <c r="D72" i="29"/>
  <c r="Q71" i="29"/>
  <c r="T71" i="29" s="1"/>
  <c r="N22" i="30" s="1"/>
  <c r="P71" i="29"/>
  <c r="R71" i="29" s="1"/>
  <c r="O71" i="29"/>
  <c r="N71" i="29"/>
  <c r="M71" i="29"/>
  <c r="L71" i="29"/>
  <c r="I71" i="29"/>
  <c r="H71" i="29"/>
  <c r="J71" i="29"/>
  <c r="G71" i="29"/>
  <c r="F71" i="29"/>
  <c r="E71" i="29"/>
  <c r="D71" i="29"/>
  <c r="Q70" i="29"/>
  <c r="I70" i="29"/>
  <c r="T70" i="29"/>
  <c r="P70" i="29"/>
  <c r="R70" i="29" s="1"/>
  <c r="O70" i="29"/>
  <c r="N70" i="29"/>
  <c r="M70" i="29"/>
  <c r="L70" i="29"/>
  <c r="H70" i="29"/>
  <c r="J70" i="29"/>
  <c r="G70" i="29"/>
  <c r="F70" i="29"/>
  <c r="E70" i="29"/>
  <c r="D70" i="29"/>
  <c r="Q69" i="29"/>
  <c r="I69" i="29"/>
  <c r="T69" i="29"/>
  <c r="P69" i="29"/>
  <c r="S69" i="29" s="1"/>
  <c r="R69" i="29"/>
  <c r="O69" i="29"/>
  <c r="N69" i="29"/>
  <c r="M69" i="29"/>
  <c r="L69" i="29"/>
  <c r="H69" i="29"/>
  <c r="J69" i="29"/>
  <c r="G69" i="29"/>
  <c r="F69" i="29"/>
  <c r="E69" i="29"/>
  <c r="D69" i="29"/>
  <c r="Q68" i="29"/>
  <c r="T68" i="29" s="1"/>
  <c r="P68" i="29"/>
  <c r="R68" i="29"/>
  <c r="O68" i="29"/>
  <c r="N68" i="29"/>
  <c r="M68" i="29"/>
  <c r="L68" i="29"/>
  <c r="I68" i="29"/>
  <c r="H68" i="29"/>
  <c r="S68" i="29"/>
  <c r="J68" i="29"/>
  <c r="G68" i="29"/>
  <c r="F68" i="29"/>
  <c r="E68" i="29"/>
  <c r="D68" i="29"/>
  <c r="Q67" i="29"/>
  <c r="T67" i="29" s="1"/>
  <c r="N21" i="30" s="1"/>
  <c r="I67" i="29"/>
  <c r="P67" i="29"/>
  <c r="R67" i="29" s="1"/>
  <c r="O67" i="29"/>
  <c r="N67" i="29"/>
  <c r="M67" i="29"/>
  <c r="L67" i="29"/>
  <c r="H67" i="29"/>
  <c r="J67" i="29"/>
  <c r="G67" i="29"/>
  <c r="F67" i="29"/>
  <c r="E67" i="29"/>
  <c r="D67" i="29"/>
  <c r="Q66" i="29"/>
  <c r="T66" i="29" s="1"/>
  <c r="P66" i="29"/>
  <c r="R66" i="29" s="1"/>
  <c r="O66" i="29"/>
  <c r="N66" i="29"/>
  <c r="M66" i="29"/>
  <c r="L66" i="29"/>
  <c r="I66" i="29"/>
  <c r="H66" i="29"/>
  <c r="G66" i="29"/>
  <c r="F66" i="29"/>
  <c r="E66" i="29"/>
  <c r="D66" i="29"/>
  <c r="Q65" i="29"/>
  <c r="I65" i="29"/>
  <c r="T65" i="29"/>
  <c r="P65" i="29"/>
  <c r="S65" i="29" s="1"/>
  <c r="R65" i="29"/>
  <c r="O65" i="29"/>
  <c r="N65" i="29"/>
  <c r="M65" i="29"/>
  <c r="L65" i="29"/>
  <c r="H65" i="29"/>
  <c r="J65" i="29"/>
  <c r="G65" i="29"/>
  <c r="F65" i="29"/>
  <c r="E65" i="29"/>
  <c r="D65" i="29"/>
  <c r="Q64" i="29"/>
  <c r="T64" i="29" s="1"/>
  <c r="P64" i="29"/>
  <c r="R64" i="29" s="1"/>
  <c r="O64" i="29"/>
  <c r="N64" i="29"/>
  <c r="M64" i="29"/>
  <c r="L64" i="29"/>
  <c r="I64" i="29"/>
  <c r="H64" i="29"/>
  <c r="J64" i="29"/>
  <c r="G64" i="29"/>
  <c r="F64" i="29"/>
  <c r="E64" i="29"/>
  <c r="D64" i="29"/>
  <c r="Q63" i="29"/>
  <c r="T63" i="29" s="1"/>
  <c r="N20" i="30" s="1"/>
  <c r="I63" i="29"/>
  <c r="P63" i="29"/>
  <c r="S63" i="29" s="1"/>
  <c r="M20" i="30" s="1"/>
  <c r="H63" i="29"/>
  <c r="O63" i="29"/>
  <c r="N63" i="29"/>
  <c r="M63" i="29"/>
  <c r="L63" i="29"/>
  <c r="J63" i="29"/>
  <c r="G63" i="29"/>
  <c r="F63" i="29"/>
  <c r="E63" i="29"/>
  <c r="D63" i="29"/>
  <c r="Q62" i="29"/>
  <c r="T62" i="29" s="1"/>
  <c r="P62" i="29"/>
  <c r="R62" i="29"/>
  <c r="O62" i="29"/>
  <c r="N62" i="29"/>
  <c r="M62" i="29"/>
  <c r="L62" i="29"/>
  <c r="I62" i="29"/>
  <c r="H62" i="29"/>
  <c r="J62" i="29"/>
  <c r="G62" i="29"/>
  <c r="F62" i="29"/>
  <c r="E62" i="29"/>
  <c r="D62" i="29"/>
  <c r="Q61" i="29"/>
  <c r="T61" i="29" s="1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I60" i="29"/>
  <c r="T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/>
  <c r="G59" i="29"/>
  <c r="F59" i="29"/>
  <c r="E59" i="29"/>
  <c r="D59" i="29"/>
  <c r="D4" i="29"/>
  <c r="E4" i="29"/>
  <c r="F4" i="29"/>
  <c r="G4" i="29"/>
  <c r="H4" i="29"/>
  <c r="J4" i="29"/>
  <c r="I4" i="29"/>
  <c r="L4" i="29"/>
  <c r="M4" i="29"/>
  <c r="N4" i="29"/>
  <c r="O4" i="29"/>
  <c r="P4" i="29"/>
  <c r="R4" i="29" s="1"/>
  <c r="Q4" i="29"/>
  <c r="T4" i="29"/>
  <c r="D5" i="29"/>
  <c r="E5" i="29"/>
  <c r="F5" i="29"/>
  <c r="G5" i="29"/>
  <c r="H5" i="29"/>
  <c r="J5" i="29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I75" i="29"/>
  <c r="L5" i="29"/>
  <c r="M5" i="29"/>
  <c r="N5" i="29"/>
  <c r="O5" i="29"/>
  <c r="P5" i="29"/>
  <c r="S5" i="29" s="1"/>
  <c r="Q5" i="29"/>
  <c r="T5" i="29" s="1"/>
  <c r="D6" i="29"/>
  <c r="E6" i="29"/>
  <c r="F6" i="29"/>
  <c r="G6" i="29"/>
  <c r="H6" i="29"/>
  <c r="J6" i="29"/>
  <c r="L6" i="29"/>
  <c r="M6" i="29"/>
  <c r="N6" i="29"/>
  <c r="O6" i="29"/>
  <c r="P6" i="29"/>
  <c r="S6" i="29" s="1"/>
  <c r="R6" i="29"/>
  <c r="Q6" i="29"/>
  <c r="D7" i="29"/>
  <c r="E7" i="29"/>
  <c r="F7" i="29"/>
  <c r="G7" i="29"/>
  <c r="H7" i="29"/>
  <c r="J7" i="29"/>
  <c r="L7" i="29"/>
  <c r="M7" i="29"/>
  <c r="N7" i="29"/>
  <c r="O7" i="29"/>
  <c r="P7" i="29"/>
  <c r="R7" i="29" s="1"/>
  <c r="Q7" i="29"/>
  <c r="T7" i="29" s="1"/>
  <c r="N6" i="30" s="1"/>
  <c r="D8" i="29"/>
  <c r="E8" i="29"/>
  <c r="F8" i="29"/>
  <c r="G8" i="29"/>
  <c r="H8" i="29"/>
  <c r="J8" i="29"/>
  <c r="L8" i="29"/>
  <c r="M8" i="29"/>
  <c r="N8" i="29"/>
  <c r="O8" i="29"/>
  <c r="P8" i="29"/>
  <c r="Q8" i="29"/>
  <c r="T8" i="29" s="1"/>
  <c r="D9" i="29"/>
  <c r="E9" i="29"/>
  <c r="F9" i="29"/>
  <c r="G9" i="29"/>
  <c r="H9" i="29"/>
  <c r="J9" i="29"/>
  <c r="L9" i="29"/>
  <c r="M9" i="29"/>
  <c r="N9" i="29"/>
  <c r="O9" i="29"/>
  <c r="P9" i="29"/>
  <c r="R9" i="29" s="1"/>
  <c r="Q9" i="29"/>
  <c r="T9" i="29" s="1"/>
  <c r="D10" i="29"/>
  <c r="E10" i="29"/>
  <c r="F10" i="29"/>
  <c r="G10" i="29"/>
  <c r="H10" i="29"/>
  <c r="J10" i="29"/>
  <c r="Q10" i="29"/>
  <c r="T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/>
  <c r="L11" i="29"/>
  <c r="M11" i="29"/>
  <c r="N11" i="29"/>
  <c r="O11" i="29"/>
  <c r="P11" i="29"/>
  <c r="S11" i="29" s="1"/>
  <c r="R11" i="29"/>
  <c r="Q11" i="29"/>
  <c r="T11" i="29" s="1"/>
  <c r="N7" i="30" s="1"/>
  <c r="D12" i="29"/>
  <c r="E12" i="29"/>
  <c r="F12" i="29"/>
  <c r="G12" i="29"/>
  <c r="H12" i="29"/>
  <c r="J12" i="29"/>
  <c r="L12" i="29"/>
  <c r="M12" i="29"/>
  <c r="N12" i="29"/>
  <c r="O12" i="29"/>
  <c r="P12" i="29"/>
  <c r="R12" i="29" s="1"/>
  <c r="Q12" i="29"/>
  <c r="T12" i="29" s="1"/>
  <c r="D13" i="29"/>
  <c r="E13" i="29"/>
  <c r="F13" i="29"/>
  <c r="G13" i="29"/>
  <c r="H13" i="29"/>
  <c r="J13" i="29"/>
  <c r="L13" i="29"/>
  <c r="M13" i="29"/>
  <c r="N13" i="29"/>
  <c r="O13" i="29"/>
  <c r="P13" i="29"/>
  <c r="Q13" i="29"/>
  <c r="T13" i="29" s="1"/>
  <c r="D14" i="29"/>
  <c r="E14" i="29"/>
  <c r="F14" i="29"/>
  <c r="G14" i="29"/>
  <c r="H14" i="29"/>
  <c r="J14" i="29"/>
  <c r="L14" i="29"/>
  <c r="M14" i="29"/>
  <c r="N14" i="29"/>
  <c r="O14" i="29"/>
  <c r="P14" i="29"/>
  <c r="R14" i="29" s="1"/>
  <c r="Q14" i="29"/>
  <c r="T14" i="29" s="1"/>
  <c r="D15" i="29"/>
  <c r="E15" i="29"/>
  <c r="F15" i="29"/>
  <c r="G15" i="29"/>
  <c r="H15" i="29"/>
  <c r="J15" i="29"/>
  <c r="L15" i="29"/>
  <c r="M15" i="29"/>
  <c r="N15" i="29"/>
  <c r="O15" i="29"/>
  <c r="P15" i="29"/>
  <c r="Q15" i="29"/>
  <c r="T15" i="29" s="1"/>
  <c r="N8" i="30" s="1"/>
  <c r="D16" i="29"/>
  <c r="E16" i="29"/>
  <c r="F16" i="29"/>
  <c r="G16" i="29"/>
  <c r="H16" i="29"/>
  <c r="J16" i="29"/>
  <c r="L16" i="29"/>
  <c r="M16" i="29"/>
  <c r="N16" i="29"/>
  <c r="O16" i="29"/>
  <c r="P16" i="29"/>
  <c r="R16" i="29" s="1"/>
  <c r="S16" i="29"/>
  <c r="Q16" i="29"/>
  <c r="T16" i="29" s="1"/>
  <c r="D17" i="29"/>
  <c r="E17" i="29"/>
  <c r="F17" i="29"/>
  <c r="G17" i="29"/>
  <c r="H17" i="29"/>
  <c r="J17" i="29"/>
  <c r="L17" i="29"/>
  <c r="M17" i="29"/>
  <c r="N17" i="29"/>
  <c r="O17" i="29"/>
  <c r="P17" i="29"/>
  <c r="S17" i="29" s="1"/>
  <c r="R17" i="29"/>
  <c r="Q17" i="29"/>
  <c r="T17" i="29"/>
  <c r="D18" i="29"/>
  <c r="E18" i="29"/>
  <c r="F18" i="29"/>
  <c r="G18" i="29"/>
  <c r="H18" i="29"/>
  <c r="J18" i="29"/>
  <c r="L18" i="29"/>
  <c r="M18" i="29"/>
  <c r="N18" i="29"/>
  <c r="O18" i="29"/>
  <c r="P18" i="29"/>
  <c r="S18" i="29" s="1"/>
  <c r="R18" i="29"/>
  <c r="Q18" i="29"/>
  <c r="T18" i="29" s="1"/>
  <c r="D19" i="29"/>
  <c r="E19" i="29"/>
  <c r="F19" i="29"/>
  <c r="G19" i="29"/>
  <c r="H19" i="29"/>
  <c r="J19" i="29"/>
  <c r="I19" i="29"/>
  <c r="L19" i="29"/>
  <c r="M19" i="29"/>
  <c r="N19" i="29"/>
  <c r="O19" i="29"/>
  <c r="P19" i="29"/>
  <c r="R19" i="29" s="1"/>
  <c r="Q19" i="29"/>
  <c r="T19" i="29" s="1"/>
  <c r="N9" i="30" s="1"/>
  <c r="D20" i="29"/>
  <c r="E20" i="29"/>
  <c r="F20" i="29"/>
  <c r="G20" i="29"/>
  <c r="H20" i="29"/>
  <c r="J20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76" i="29"/>
  <c r="L20" i="29"/>
  <c r="M20" i="29"/>
  <c r="N20" i="29"/>
  <c r="O20" i="29"/>
  <c r="P20" i="29"/>
  <c r="S20" i="29" s="1"/>
  <c r="R20" i="29"/>
  <c r="Q20" i="29"/>
  <c r="T20" i="29" s="1"/>
  <c r="D21" i="29"/>
  <c r="E21" i="29"/>
  <c r="F21" i="29"/>
  <c r="G21" i="29"/>
  <c r="H21" i="29"/>
  <c r="J21" i="29"/>
  <c r="L21" i="29"/>
  <c r="M21" i="29"/>
  <c r="N21" i="29"/>
  <c r="O21" i="29"/>
  <c r="P21" i="29"/>
  <c r="S21" i="29" s="1"/>
  <c r="Q21" i="29"/>
  <c r="T21" i="29" s="1"/>
  <c r="D22" i="29"/>
  <c r="E22" i="29"/>
  <c r="F22" i="29"/>
  <c r="G22" i="29"/>
  <c r="H22" i="29"/>
  <c r="J22" i="29"/>
  <c r="L22" i="29"/>
  <c r="M22" i="29"/>
  <c r="N22" i="29"/>
  <c r="O22" i="29"/>
  <c r="P22" i="29"/>
  <c r="Q22" i="29"/>
  <c r="T22" i="29" s="1"/>
  <c r="D23" i="29"/>
  <c r="E23" i="29"/>
  <c r="F23" i="29"/>
  <c r="G23" i="29"/>
  <c r="H23" i="29"/>
  <c r="J23" i="29"/>
  <c r="L23" i="29"/>
  <c r="M23" i="29"/>
  <c r="N23" i="29"/>
  <c r="O23" i="29"/>
  <c r="P23" i="29"/>
  <c r="S23" i="29" s="1"/>
  <c r="M10" i="30" s="1"/>
  <c r="R23" i="29"/>
  <c r="Q23" i="29"/>
  <c r="T23" i="29" s="1"/>
  <c r="N10" i="30" s="1"/>
  <c r="D24" i="29"/>
  <c r="E24" i="29"/>
  <c r="F24" i="29"/>
  <c r="G24" i="29"/>
  <c r="H24" i="29"/>
  <c r="J24" i="29"/>
  <c r="Q24" i="29"/>
  <c r="T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/>
  <c r="L25" i="29"/>
  <c r="M25" i="29"/>
  <c r="N25" i="29"/>
  <c r="O25" i="29"/>
  <c r="P25" i="29"/>
  <c r="S25" i="29" s="1"/>
  <c r="Q25" i="29"/>
  <c r="T25" i="29" s="1"/>
  <c r="D26" i="29"/>
  <c r="E26" i="29"/>
  <c r="F26" i="29"/>
  <c r="G26" i="29"/>
  <c r="H26" i="29"/>
  <c r="P26" i="29"/>
  <c r="L26" i="29"/>
  <c r="M26" i="29"/>
  <c r="N26" i="29"/>
  <c r="O26" i="29"/>
  <c r="Q26" i="29"/>
  <c r="T26" i="29" s="1"/>
  <c r="D27" i="29"/>
  <c r="E27" i="29"/>
  <c r="F27" i="29"/>
  <c r="G27" i="29"/>
  <c r="H27" i="29"/>
  <c r="J27" i="29"/>
  <c r="L27" i="29"/>
  <c r="M27" i="29"/>
  <c r="N27" i="29"/>
  <c r="O27" i="29"/>
  <c r="P27" i="29"/>
  <c r="R27" i="29" s="1"/>
  <c r="Q27" i="29"/>
  <c r="T27" i="29" s="1"/>
  <c r="N11" i="30" s="1"/>
  <c r="D28" i="29"/>
  <c r="E28" i="29"/>
  <c r="F28" i="29"/>
  <c r="G28" i="29"/>
  <c r="H28" i="29"/>
  <c r="J28" i="29"/>
  <c r="L28" i="29"/>
  <c r="M28" i="29"/>
  <c r="N28" i="29"/>
  <c r="O28" i="29"/>
  <c r="P28" i="29"/>
  <c r="S28" i="29" s="1"/>
  <c r="R28" i="29"/>
  <c r="Q28" i="29"/>
  <c r="T28" i="29" s="1"/>
  <c r="D29" i="29"/>
  <c r="E29" i="29"/>
  <c r="F29" i="29"/>
  <c r="G29" i="29"/>
  <c r="H29" i="29"/>
  <c r="J29" i="29"/>
  <c r="L29" i="29"/>
  <c r="M29" i="29"/>
  <c r="N29" i="29"/>
  <c r="O29" i="29"/>
  <c r="P29" i="29"/>
  <c r="S29" i="29" s="1"/>
  <c r="Q29" i="29"/>
  <c r="T29" i="29" s="1"/>
  <c r="D30" i="29"/>
  <c r="E30" i="29"/>
  <c r="F30" i="29"/>
  <c r="G30" i="29"/>
  <c r="H30" i="29"/>
  <c r="J30" i="29"/>
  <c r="L30" i="29"/>
  <c r="M30" i="29"/>
  <c r="N30" i="29"/>
  <c r="O30" i="29"/>
  <c r="P30" i="29"/>
  <c r="R30" i="29" s="1"/>
  <c r="Q30" i="29"/>
  <c r="T30" i="29" s="1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T31" i="29"/>
  <c r="N12" i="30" s="1"/>
  <c r="D32" i="29"/>
  <c r="E32" i="29"/>
  <c r="F32" i="29"/>
  <c r="G32" i="29"/>
  <c r="H32" i="29"/>
  <c r="J32" i="29"/>
  <c r="Q32" i="29"/>
  <c r="T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/>
  <c r="L33" i="29"/>
  <c r="M33" i="29"/>
  <c r="N33" i="29"/>
  <c r="O33" i="29"/>
  <c r="P33" i="29"/>
  <c r="R33" i="29" s="1"/>
  <c r="Q33" i="29"/>
  <c r="T33" i="29" s="1"/>
  <c r="D34" i="29"/>
  <c r="E34" i="29"/>
  <c r="F34" i="29"/>
  <c r="G34" i="29"/>
  <c r="H34" i="29"/>
  <c r="J34" i="29"/>
  <c r="L34" i="29"/>
  <c r="M34" i="29"/>
  <c r="N34" i="29"/>
  <c r="O34" i="29"/>
  <c r="P34" i="29"/>
  <c r="R34" i="29" s="1"/>
  <c r="Q34" i="29"/>
  <c r="T34" i="29" s="1"/>
  <c r="D35" i="29"/>
  <c r="E35" i="29"/>
  <c r="F35" i="29"/>
  <c r="G35" i="29"/>
  <c r="H35" i="29"/>
  <c r="J35" i="29"/>
  <c r="I35" i="29"/>
  <c r="L35" i="29"/>
  <c r="M35" i="29"/>
  <c r="N35" i="29"/>
  <c r="O35" i="29"/>
  <c r="P35" i="29"/>
  <c r="S35" i="29" s="1"/>
  <c r="M13" i="30" s="1"/>
  <c r="R35" i="29"/>
  <c r="Q35" i="29"/>
  <c r="T35" i="29" s="1"/>
  <c r="N13" i="30" s="1"/>
  <c r="D36" i="29"/>
  <c r="E36" i="29"/>
  <c r="F36" i="29"/>
  <c r="G36" i="29"/>
  <c r="H36" i="29"/>
  <c r="J36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77" i="29"/>
  <c r="L36" i="29"/>
  <c r="M36" i="29"/>
  <c r="N36" i="29"/>
  <c r="O36" i="29"/>
  <c r="P36" i="29"/>
  <c r="S36" i="29" s="1"/>
  <c r="R36" i="29"/>
  <c r="Q36" i="29"/>
  <c r="T36" i="29" s="1"/>
  <c r="D37" i="29"/>
  <c r="E37" i="29"/>
  <c r="F37" i="29"/>
  <c r="G37" i="29"/>
  <c r="H37" i="29"/>
  <c r="J37" i="29"/>
  <c r="Q37" i="29"/>
  <c r="T37" i="29" s="1"/>
  <c r="L37" i="29"/>
  <c r="M37" i="29"/>
  <c r="N37" i="29"/>
  <c r="O37" i="29"/>
  <c r="P37" i="29"/>
  <c r="R37" i="29" s="1"/>
  <c r="D38" i="29"/>
  <c r="E38" i="29"/>
  <c r="F38" i="29"/>
  <c r="G38" i="29"/>
  <c r="H38" i="29"/>
  <c r="J38" i="29"/>
  <c r="L38" i="29"/>
  <c r="M38" i="29"/>
  <c r="N38" i="29"/>
  <c r="O38" i="29"/>
  <c r="P38" i="29"/>
  <c r="S38" i="29" s="1"/>
  <c r="R38" i="29"/>
  <c r="Q38" i="29"/>
  <c r="T38" i="29" s="1"/>
  <c r="D39" i="29"/>
  <c r="E39" i="29"/>
  <c r="F39" i="29"/>
  <c r="G39" i="29"/>
  <c r="H39" i="29"/>
  <c r="J39" i="29"/>
  <c r="L39" i="29"/>
  <c r="M39" i="29"/>
  <c r="N39" i="29"/>
  <c r="O39" i="29"/>
  <c r="P39" i="29"/>
  <c r="S39" i="29" s="1"/>
  <c r="R39" i="29"/>
  <c r="Q39" i="29"/>
  <c r="T39" i="29" s="1"/>
  <c r="N14" i="30" s="1"/>
  <c r="D40" i="29"/>
  <c r="E40" i="29"/>
  <c r="F40" i="29"/>
  <c r="G40" i="29"/>
  <c r="H40" i="29"/>
  <c r="J40" i="29"/>
  <c r="L40" i="29"/>
  <c r="M40" i="29"/>
  <c r="N40" i="29"/>
  <c r="O40" i="29"/>
  <c r="P40" i="29"/>
  <c r="S40" i="29" s="1"/>
  <c r="Q40" i="29"/>
  <c r="T40" i="29" s="1"/>
  <c r="D41" i="29"/>
  <c r="E41" i="29"/>
  <c r="F41" i="29"/>
  <c r="G41" i="29"/>
  <c r="H41" i="29"/>
  <c r="J41" i="29"/>
  <c r="Q41" i="29"/>
  <c r="T41" i="29" s="1"/>
  <c r="L41" i="29"/>
  <c r="M41" i="29"/>
  <c r="N41" i="29"/>
  <c r="O41" i="29"/>
  <c r="P41" i="29"/>
  <c r="S41" i="29" s="1"/>
  <c r="D42" i="29"/>
  <c r="E42" i="29"/>
  <c r="F42" i="29"/>
  <c r="G42" i="29"/>
  <c r="H42" i="29"/>
  <c r="L42" i="29"/>
  <c r="M42" i="29"/>
  <c r="N42" i="29"/>
  <c r="O42" i="29"/>
  <c r="P42" i="29"/>
  <c r="R42" i="29" s="1"/>
  <c r="Q42" i="29"/>
  <c r="T42" i="29" s="1"/>
  <c r="D43" i="29"/>
  <c r="E43" i="29"/>
  <c r="F43" i="29"/>
  <c r="G43" i="29"/>
  <c r="H43" i="29"/>
  <c r="J43" i="29"/>
  <c r="Q43" i="29"/>
  <c r="T43" i="29"/>
  <c r="N15" i="30" s="1"/>
  <c r="L43" i="29"/>
  <c r="M43" i="29"/>
  <c r="N43" i="29"/>
  <c r="O43" i="29"/>
  <c r="P43" i="29"/>
  <c r="S43" i="29" s="1"/>
  <c r="M15" i="30" s="1"/>
  <c r="D44" i="29"/>
  <c r="E44" i="29"/>
  <c r="F44" i="29"/>
  <c r="G44" i="29"/>
  <c r="H44" i="29"/>
  <c r="J44" i="29"/>
  <c r="L44" i="29"/>
  <c r="M44" i="29"/>
  <c r="N44" i="29"/>
  <c r="O44" i="29"/>
  <c r="P44" i="29"/>
  <c r="S44" i="29" s="1"/>
  <c r="R44" i="29"/>
  <c r="Q44" i="29"/>
  <c r="T44" i="29" s="1"/>
  <c r="D45" i="29"/>
  <c r="E45" i="29"/>
  <c r="F45" i="29"/>
  <c r="G45" i="29"/>
  <c r="H45" i="29"/>
  <c r="P45" i="29"/>
  <c r="R45" i="29" s="1"/>
  <c r="S45" i="29"/>
  <c r="L45" i="29"/>
  <c r="M45" i="29"/>
  <c r="N45" i="29"/>
  <c r="O45" i="29"/>
  <c r="Q45" i="29"/>
  <c r="T45" i="29"/>
  <c r="D46" i="29"/>
  <c r="E46" i="29"/>
  <c r="F46" i="29"/>
  <c r="G46" i="29"/>
  <c r="H46" i="29"/>
  <c r="J46" i="29"/>
  <c r="L46" i="29"/>
  <c r="M46" i="29"/>
  <c r="N46" i="29"/>
  <c r="O46" i="29"/>
  <c r="P46" i="29"/>
  <c r="S46" i="29" s="1"/>
  <c r="Q46" i="29"/>
  <c r="T46" i="29" s="1"/>
  <c r="D47" i="29"/>
  <c r="E47" i="29"/>
  <c r="F47" i="29"/>
  <c r="G47" i="29"/>
  <c r="H47" i="29"/>
  <c r="J47" i="29"/>
  <c r="L47" i="29"/>
  <c r="M47" i="29"/>
  <c r="N47" i="29"/>
  <c r="O47" i="29"/>
  <c r="P47" i="29"/>
  <c r="S47" i="29" s="1"/>
  <c r="M16" i="30" s="1"/>
  <c r="R47" i="29"/>
  <c r="Q47" i="29"/>
  <c r="T47" i="29" s="1"/>
  <c r="N16" i="30" s="1"/>
  <c r="D48" i="29"/>
  <c r="E48" i="29"/>
  <c r="F48" i="29"/>
  <c r="G48" i="29"/>
  <c r="H48" i="29"/>
  <c r="P48" i="29"/>
  <c r="R48" i="29" s="1"/>
  <c r="S48" i="29"/>
  <c r="L48" i="29"/>
  <c r="M48" i="29"/>
  <c r="N48" i="29"/>
  <c r="O48" i="29"/>
  <c r="Q48" i="29"/>
  <c r="T48" i="29" s="1"/>
  <c r="D49" i="29"/>
  <c r="E49" i="29"/>
  <c r="F49" i="29"/>
  <c r="G49" i="29"/>
  <c r="H49" i="29"/>
  <c r="J49" i="29"/>
  <c r="L49" i="29"/>
  <c r="M49" i="29"/>
  <c r="N49" i="29"/>
  <c r="O49" i="29"/>
  <c r="P49" i="29"/>
  <c r="S49" i="29" s="1"/>
  <c r="R49" i="29"/>
  <c r="Q49" i="29"/>
  <c r="T49" i="29" s="1"/>
  <c r="D50" i="29"/>
  <c r="E50" i="29"/>
  <c r="F50" i="29"/>
  <c r="G50" i="29"/>
  <c r="H50" i="29"/>
  <c r="J50" i="29"/>
  <c r="L50" i="29"/>
  <c r="M50" i="29"/>
  <c r="N50" i="29"/>
  <c r="O50" i="29"/>
  <c r="P50" i="29"/>
  <c r="R50" i="29"/>
  <c r="Q50" i="29"/>
  <c r="T50" i="29" s="1"/>
  <c r="D51" i="29"/>
  <c r="E51" i="29"/>
  <c r="F51" i="29"/>
  <c r="G51" i="29"/>
  <c r="H51" i="29"/>
  <c r="J51" i="29"/>
  <c r="I51" i="29"/>
  <c r="L51" i="29"/>
  <c r="M51" i="29"/>
  <c r="N51" i="29"/>
  <c r="O51" i="29"/>
  <c r="P51" i="29"/>
  <c r="R51" i="29" s="1"/>
  <c r="Q51" i="29"/>
  <c r="T51" i="29" s="1"/>
  <c r="D52" i="29"/>
  <c r="E52" i="29"/>
  <c r="F52" i="29"/>
  <c r="G52" i="29"/>
  <c r="H52" i="29"/>
  <c r="J52" i="29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/>
  <c r="I53" i="29"/>
  <c r="L53" i="29"/>
  <c r="M53" i="29"/>
  <c r="N53" i="29"/>
  <c r="O53" i="29"/>
  <c r="P53" i="29"/>
  <c r="S53" i="29" s="1"/>
  <c r="Q53" i="29"/>
  <c r="T53" i="29"/>
  <c r="D54" i="29"/>
  <c r="E54" i="29"/>
  <c r="F54" i="29"/>
  <c r="G54" i="29"/>
  <c r="H54" i="29"/>
  <c r="J54" i="29"/>
  <c r="I54" i="29"/>
  <c r="L54" i="29"/>
  <c r="M54" i="29"/>
  <c r="N54" i="29"/>
  <c r="O54" i="29"/>
  <c r="P54" i="29"/>
  <c r="S54" i="29" s="1"/>
  <c r="R54" i="29"/>
  <c r="Q54" i="29"/>
  <c r="D55" i="29"/>
  <c r="E55" i="29"/>
  <c r="F55" i="29"/>
  <c r="G55" i="29"/>
  <c r="H55" i="29"/>
  <c r="J55" i="29"/>
  <c r="I55" i="29"/>
  <c r="L55" i="29"/>
  <c r="M55" i="29"/>
  <c r="N55" i="29"/>
  <c r="O55" i="29"/>
  <c r="P55" i="29"/>
  <c r="S55" i="29" s="1"/>
  <c r="M18" i="30" s="1"/>
  <c r="R55" i="29"/>
  <c r="Q55" i="29"/>
  <c r="T55" i="29" s="1"/>
  <c r="N18" i="30" s="1"/>
  <c r="D56" i="29"/>
  <c r="E56" i="29"/>
  <c r="F56" i="29"/>
  <c r="G56" i="29"/>
  <c r="H56" i="29"/>
  <c r="J56" i="29"/>
  <c r="I56" i="29"/>
  <c r="L56" i="29"/>
  <c r="M56" i="29"/>
  <c r="N56" i="29"/>
  <c r="O56" i="29"/>
  <c r="P56" i="29"/>
  <c r="R56" i="29" s="1"/>
  <c r="Q56" i="29"/>
  <c r="T56" i="29" s="1"/>
  <c r="D57" i="29"/>
  <c r="E57" i="29"/>
  <c r="F57" i="29"/>
  <c r="G57" i="29"/>
  <c r="H57" i="29"/>
  <c r="J57" i="29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/>
  <c r="I58" i="29"/>
  <c r="L58" i="29"/>
  <c r="M58" i="29"/>
  <c r="N58" i="29"/>
  <c r="O58" i="29"/>
  <c r="P58" i="29"/>
  <c r="S58" i="29" s="1"/>
  <c r="R58" i="29"/>
  <c r="Q58" i="29"/>
  <c r="T58" i="29" s="1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S74" i="25" s="1"/>
  <c r="R74" i="25"/>
  <c r="O74" i="25"/>
  <c r="N74" i="25"/>
  <c r="M74" i="25"/>
  <c r="L74" i="25"/>
  <c r="H74" i="25"/>
  <c r="J74" i="25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/>
  <c r="G73" i="25"/>
  <c r="F73" i="25"/>
  <c r="E73" i="25"/>
  <c r="D73" i="25"/>
  <c r="Q72" i="25"/>
  <c r="T72" i="25" s="1"/>
  <c r="P72" i="25"/>
  <c r="R72" i="25" s="1"/>
  <c r="O72" i="25"/>
  <c r="N72" i="25"/>
  <c r="M72" i="25"/>
  <c r="L72" i="25"/>
  <c r="I72" i="25"/>
  <c r="H72" i="25"/>
  <c r="J72" i="25"/>
  <c r="G72" i="25"/>
  <c r="F72" i="25"/>
  <c r="E72" i="25"/>
  <c r="D72" i="25"/>
  <c r="Q71" i="25"/>
  <c r="I71" i="25"/>
  <c r="P71" i="25"/>
  <c r="R71" i="25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/>
  <c r="G68" i="25"/>
  <c r="F68" i="25"/>
  <c r="E68" i="25"/>
  <c r="D68" i="25"/>
  <c r="Q67" i="25"/>
  <c r="P67" i="25"/>
  <c r="O67" i="25"/>
  <c r="N67" i="25"/>
  <c r="M67" i="25"/>
  <c r="L67" i="25"/>
  <c r="I67" i="25"/>
  <c r="I79" i="25" s="1"/>
  <c r="H67" i="25"/>
  <c r="J67" i="25" s="1"/>
  <c r="G67" i="25"/>
  <c r="F67" i="25"/>
  <c r="E67" i="25"/>
  <c r="D67" i="25"/>
  <c r="Q66" i="25"/>
  <c r="T66" i="25" s="1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T65" i="25" s="1"/>
  <c r="P65" i="25"/>
  <c r="O65" i="25"/>
  <c r="N65" i="25"/>
  <c r="M65" i="25"/>
  <c r="L65" i="25"/>
  <c r="I65" i="25"/>
  <c r="H65" i="25"/>
  <c r="J65" i="25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T63" i="25"/>
  <c r="P63" i="25"/>
  <c r="R63" i="25" s="1"/>
  <c r="O63" i="25"/>
  <c r="N63" i="25"/>
  <c r="M63" i="25"/>
  <c r="L63" i="25"/>
  <c r="H63" i="25"/>
  <c r="J63" i="25"/>
  <c r="G63" i="25"/>
  <c r="F63" i="25"/>
  <c r="E63" i="25"/>
  <c r="D63" i="25"/>
  <c r="Q62" i="25"/>
  <c r="I62" i="25"/>
  <c r="T62" i="25" s="1"/>
  <c r="P62" i="25"/>
  <c r="S62" i="25" s="1"/>
  <c r="R62" i="25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T60" i="25" s="1"/>
  <c r="P60" i="25"/>
  <c r="O60" i="25"/>
  <c r="N60" i="25"/>
  <c r="M60" i="25"/>
  <c r="L60" i="25"/>
  <c r="I60" i="25"/>
  <c r="I59" i="25"/>
  <c r="H60" i="25"/>
  <c r="J60" i="25"/>
  <c r="G60" i="25"/>
  <c r="F60" i="25"/>
  <c r="E60" i="25"/>
  <c r="D60" i="25"/>
  <c r="Q59" i="25"/>
  <c r="P59" i="25"/>
  <c r="S59" i="25" s="1"/>
  <c r="O59" i="25"/>
  <c r="N59" i="25"/>
  <c r="M59" i="25"/>
  <c r="L59" i="25"/>
  <c r="H59" i="25"/>
  <c r="G59" i="25"/>
  <c r="F59" i="25"/>
  <c r="E59" i="25"/>
  <c r="D59" i="25"/>
  <c r="L4" i="25"/>
  <c r="M4" i="25"/>
  <c r="N4" i="25"/>
  <c r="O4" i="25"/>
  <c r="P4" i="25"/>
  <c r="S4" i="25" s="1"/>
  <c r="Q4" i="25"/>
  <c r="I4" i="25"/>
  <c r="L5" i="25"/>
  <c r="M5" i="25"/>
  <c r="N5" i="25"/>
  <c r="O5" i="25"/>
  <c r="P5" i="25"/>
  <c r="S5" i="25" s="1"/>
  <c r="Q5" i="25"/>
  <c r="T5" i="25" s="1"/>
  <c r="L6" i="25"/>
  <c r="M6" i="25"/>
  <c r="N6" i="25"/>
  <c r="O6" i="25"/>
  <c r="P6" i="25"/>
  <c r="R6" i="25" s="1"/>
  <c r="Q6" i="25"/>
  <c r="T6" i="25" s="1"/>
  <c r="L7" i="25"/>
  <c r="M7" i="25"/>
  <c r="N7" i="25"/>
  <c r="O7" i="25"/>
  <c r="P7" i="25"/>
  <c r="H7" i="25"/>
  <c r="Q7" i="25"/>
  <c r="T7" i="25" s="1"/>
  <c r="N34" i="30" s="1"/>
  <c r="L8" i="25"/>
  <c r="M8" i="25"/>
  <c r="N8" i="25"/>
  <c r="O8" i="25"/>
  <c r="P8" i="25"/>
  <c r="S8" i="25" s="1"/>
  <c r="H8" i="25"/>
  <c r="Q8" i="25"/>
  <c r="T8" i="25" s="1"/>
  <c r="L9" i="25"/>
  <c r="M9" i="25"/>
  <c r="N9" i="25"/>
  <c r="O9" i="25"/>
  <c r="P9" i="25"/>
  <c r="R9" i="25" s="1"/>
  <c r="Q9" i="25"/>
  <c r="I9" i="25"/>
  <c r="T9" i="25"/>
  <c r="L10" i="25"/>
  <c r="M10" i="25"/>
  <c r="N10" i="25"/>
  <c r="O10" i="25"/>
  <c r="P10" i="25"/>
  <c r="R10" i="25" s="1"/>
  <c r="Q10" i="25"/>
  <c r="I10" i="25"/>
  <c r="T10" i="25"/>
  <c r="L11" i="25"/>
  <c r="M11" i="25"/>
  <c r="N11" i="25"/>
  <c r="O11" i="25"/>
  <c r="P11" i="25"/>
  <c r="R11" i="25" s="1"/>
  <c r="Q11" i="25"/>
  <c r="T11" i="25" s="1"/>
  <c r="I11" i="25"/>
  <c r="L12" i="25"/>
  <c r="M12" i="25"/>
  <c r="N12" i="25"/>
  <c r="O12" i="25"/>
  <c r="P12" i="25"/>
  <c r="R12" i="25" s="1"/>
  <c r="Q12" i="25"/>
  <c r="L13" i="25"/>
  <c r="M13" i="25"/>
  <c r="N13" i="25"/>
  <c r="O13" i="25"/>
  <c r="P13" i="25"/>
  <c r="R13" i="25" s="1"/>
  <c r="Q13" i="25"/>
  <c r="T13" i="25" s="1"/>
  <c r="I13" i="25"/>
  <c r="L14" i="25"/>
  <c r="M14" i="25"/>
  <c r="N14" i="25"/>
  <c r="O14" i="25"/>
  <c r="P14" i="25"/>
  <c r="R14" i="25" s="1"/>
  <c r="Q14" i="25"/>
  <c r="T14" i="25" s="1"/>
  <c r="I14" i="25"/>
  <c r="L15" i="25"/>
  <c r="M15" i="25"/>
  <c r="N15" i="25"/>
  <c r="O15" i="25"/>
  <c r="P15" i="25"/>
  <c r="S15" i="25" s="1"/>
  <c r="R15" i="25"/>
  <c r="Q15" i="25"/>
  <c r="T15" i="25" s="1"/>
  <c r="I15" i="25"/>
  <c r="L16" i="25"/>
  <c r="M16" i="25"/>
  <c r="N16" i="25"/>
  <c r="O16" i="25"/>
  <c r="P16" i="25"/>
  <c r="S16" i="25" s="1"/>
  <c r="R16" i="25"/>
  <c r="Q16" i="25"/>
  <c r="T16" i="25" s="1"/>
  <c r="I16" i="25"/>
  <c r="L17" i="25"/>
  <c r="M17" i="25"/>
  <c r="N17" i="25"/>
  <c r="O17" i="25"/>
  <c r="P17" i="25"/>
  <c r="S17" i="25" s="1"/>
  <c r="R17" i="25"/>
  <c r="Q17" i="25"/>
  <c r="T17" i="25" s="1"/>
  <c r="I17" i="25"/>
  <c r="L18" i="25"/>
  <c r="M18" i="25"/>
  <c r="N18" i="25"/>
  <c r="O18" i="25"/>
  <c r="P18" i="25"/>
  <c r="S18" i="25" s="1"/>
  <c r="R18" i="25"/>
  <c r="Q18" i="25"/>
  <c r="T18" i="25" s="1"/>
  <c r="L19" i="25"/>
  <c r="M19" i="25"/>
  <c r="N19" i="25"/>
  <c r="O19" i="25"/>
  <c r="P19" i="25"/>
  <c r="R19" i="25" s="1"/>
  <c r="H19" i="25"/>
  <c r="S19" i="25"/>
  <c r="Q19" i="25"/>
  <c r="T19" i="25" s="1"/>
  <c r="L20" i="25"/>
  <c r="M20" i="25"/>
  <c r="N20" i="25"/>
  <c r="O20" i="25"/>
  <c r="P20" i="25"/>
  <c r="S20" i="25" s="1"/>
  <c r="R20" i="25"/>
  <c r="Q20" i="25"/>
  <c r="T20" i="25" s="1"/>
  <c r="I20" i="25"/>
  <c r="L21" i="25"/>
  <c r="M21" i="25"/>
  <c r="N21" i="25"/>
  <c r="O21" i="25"/>
  <c r="P21" i="25"/>
  <c r="H21" i="25"/>
  <c r="Q21" i="25"/>
  <c r="T21" i="25" s="1"/>
  <c r="I21" i="25"/>
  <c r="L22" i="25"/>
  <c r="M22" i="25"/>
  <c r="N22" i="25"/>
  <c r="O22" i="25"/>
  <c r="P22" i="25"/>
  <c r="R22" i="25"/>
  <c r="Q22" i="25"/>
  <c r="T22" i="25" s="1"/>
  <c r="I22" i="25"/>
  <c r="L23" i="25"/>
  <c r="M23" i="25"/>
  <c r="N23" i="25"/>
  <c r="O23" i="25"/>
  <c r="P23" i="25"/>
  <c r="R23" i="25" s="1"/>
  <c r="Q23" i="25"/>
  <c r="T23" i="25" s="1"/>
  <c r="L24" i="25"/>
  <c r="M24" i="25"/>
  <c r="N24" i="25"/>
  <c r="O24" i="25"/>
  <c r="P24" i="25"/>
  <c r="H24" i="25"/>
  <c r="Q24" i="25"/>
  <c r="T24" i="25" s="1"/>
  <c r="I24" i="25"/>
  <c r="L25" i="25"/>
  <c r="M25" i="25"/>
  <c r="N25" i="25"/>
  <c r="O25" i="25"/>
  <c r="P25" i="25"/>
  <c r="S25" i="25" s="1"/>
  <c r="H25" i="25"/>
  <c r="R25" i="25"/>
  <c r="Q25" i="25"/>
  <c r="T25" i="25" s="1"/>
  <c r="I25" i="25"/>
  <c r="L26" i="25"/>
  <c r="M26" i="25"/>
  <c r="N26" i="25"/>
  <c r="O26" i="25"/>
  <c r="P26" i="25"/>
  <c r="S26" i="25" s="1"/>
  <c r="Q26" i="25"/>
  <c r="T26" i="25" s="1"/>
  <c r="I26" i="25"/>
  <c r="L27" i="25"/>
  <c r="M27" i="25"/>
  <c r="N27" i="25"/>
  <c r="O27" i="25"/>
  <c r="P27" i="25"/>
  <c r="R27" i="25"/>
  <c r="Q27" i="25"/>
  <c r="T27" i="25" s="1"/>
  <c r="L28" i="25"/>
  <c r="M28" i="25"/>
  <c r="N28" i="25"/>
  <c r="O28" i="25"/>
  <c r="P28" i="25"/>
  <c r="R28" i="25" s="1"/>
  <c r="Q28" i="25"/>
  <c r="I28" i="25"/>
  <c r="T28" i="25"/>
  <c r="L29" i="25"/>
  <c r="M29" i="25"/>
  <c r="N29" i="25"/>
  <c r="O29" i="25"/>
  <c r="P29" i="25"/>
  <c r="R29" i="25" s="1"/>
  <c r="Q29" i="25"/>
  <c r="T29" i="25" s="1"/>
  <c r="I29" i="25"/>
  <c r="L30" i="25"/>
  <c r="M30" i="25"/>
  <c r="N30" i="25"/>
  <c r="O30" i="25"/>
  <c r="P30" i="25"/>
  <c r="R30" i="25" s="1"/>
  <c r="Q30" i="25"/>
  <c r="T30" i="25" s="1"/>
  <c r="I30" i="25"/>
  <c r="L31" i="25"/>
  <c r="M31" i="25"/>
  <c r="N31" i="25"/>
  <c r="O31" i="25"/>
  <c r="P31" i="25"/>
  <c r="S31" i="25" s="1"/>
  <c r="Q31" i="25"/>
  <c r="T31" i="25" s="1"/>
  <c r="I31" i="25"/>
  <c r="L32" i="25"/>
  <c r="M32" i="25"/>
  <c r="N32" i="25"/>
  <c r="O32" i="25"/>
  <c r="P32" i="25"/>
  <c r="S32" i="25" s="1"/>
  <c r="Q32" i="25"/>
  <c r="L33" i="25"/>
  <c r="M33" i="25"/>
  <c r="N33" i="25"/>
  <c r="O33" i="25"/>
  <c r="P33" i="25"/>
  <c r="S33" i="25" s="1"/>
  <c r="R33" i="25"/>
  <c r="Q33" i="25"/>
  <c r="T33" i="25" s="1"/>
  <c r="I33" i="25"/>
  <c r="L34" i="25"/>
  <c r="M34" i="25"/>
  <c r="N34" i="25"/>
  <c r="O34" i="25"/>
  <c r="P34" i="25"/>
  <c r="R34" i="25" s="1"/>
  <c r="H34" i="25"/>
  <c r="Q34" i="25"/>
  <c r="L35" i="25"/>
  <c r="M35" i="25"/>
  <c r="N35" i="25"/>
  <c r="O35" i="25"/>
  <c r="P35" i="25"/>
  <c r="S35" i="25" s="1"/>
  <c r="R35" i="25"/>
  <c r="Q35" i="25"/>
  <c r="L36" i="25"/>
  <c r="M36" i="25"/>
  <c r="N36" i="25"/>
  <c r="O36" i="25"/>
  <c r="P36" i="25"/>
  <c r="R36" i="25" s="1"/>
  <c r="Q36" i="25"/>
  <c r="T36" i="25" s="1"/>
  <c r="I36" i="25"/>
  <c r="L37" i="25"/>
  <c r="M37" i="25"/>
  <c r="N37" i="25"/>
  <c r="O37" i="25"/>
  <c r="P37" i="25"/>
  <c r="R37" i="25" s="1"/>
  <c r="Q37" i="25"/>
  <c r="T37" i="25" s="1"/>
  <c r="I37" i="25"/>
  <c r="L38" i="25"/>
  <c r="M38" i="25"/>
  <c r="N38" i="25"/>
  <c r="O38" i="25"/>
  <c r="P38" i="25"/>
  <c r="S38" i="25" s="1"/>
  <c r="R38" i="25"/>
  <c r="Q38" i="25"/>
  <c r="I38" i="25"/>
  <c r="T38" i="25"/>
  <c r="L39" i="25"/>
  <c r="M39" i="25"/>
  <c r="N39" i="25"/>
  <c r="O39" i="25"/>
  <c r="P39" i="25"/>
  <c r="Q39" i="25"/>
  <c r="I39" i="25"/>
  <c r="T39" i="25"/>
  <c r="L40" i="25"/>
  <c r="M40" i="25"/>
  <c r="N40" i="25"/>
  <c r="O40" i="25"/>
  <c r="P40" i="25"/>
  <c r="R40" i="25" s="1"/>
  <c r="Q40" i="25"/>
  <c r="T40" i="25" s="1"/>
  <c r="L41" i="25"/>
  <c r="M41" i="25"/>
  <c r="N41" i="25"/>
  <c r="O41" i="25"/>
  <c r="P41" i="25"/>
  <c r="R41" i="25" s="1"/>
  <c r="Q41" i="25"/>
  <c r="T41" i="25" s="1"/>
  <c r="L42" i="25"/>
  <c r="M42" i="25"/>
  <c r="N42" i="25"/>
  <c r="O42" i="25"/>
  <c r="P42" i="25"/>
  <c r="S42" i="25" s="1"/>
  <c r="H42" i="25"/>
  <c r="Q42" i="25"/>
  <c r="T42" i="25" s="1"/>
  <c r="I42" i="25"/>
  <c r="L43" i="25"/>
  <c r="M43" i="25"/>
  <c r="N43" i="25"/>
  <c r="O43" i="25"/>
  <c r="P43" i="25"/>
  <c r="R43" i="25" s="1"/>
  <c r="H43" i="25"/>
  <c r="Q43" i="25"/>
  <c r="I43" i="25"/>
  <c r="T43" i="25"/>
  <c r="L44" i="25"/>
  <c r="M44" i="25"/>
  <c r="N44" i="25"/>
  <c r="O44" i="25"/>
  <c r="P44" i="25"/>
  <c r="R44" i="25" s="1"/>
  <c r="Q44" i="25"/>
  <c r="T44" i="25" s="1"/>
  <c r="I44" i="25"/>
  <c r="L45" i="25"/>
  <c r="M45" i="25"/>
  <c r="N45" i="25"/>
  <c r="O45" i="25"/>
  <c r="P45" i="25"/>
  <c r="S45" i="25" s="1"/>
  <c r="Q45" i="25"/>
  <c r="T45" i="25" s="1"/>
  <c r="I45" i="25"/>
  <c r="L46" i="25"/>
  <c r="M46" i="25"/>
  <c r="N46" i="25"/>
  <c r="O46" i="25"/>
  <c r="P46" i="25"/>
  <c r="R46" i="25" s="1"/>
  <c r="Q46" i="25"/>
  <c r="T46" i="25" s="1"/>
  <c r="L47" i="25"/>
  <c r="M47" i="25"/>
  <c r="N47" i="25"/>
  <c r="O47" i="25"/>
  <c r="P47" i="25"/>
  <c r="R47" i="25"/>
  <c r="Q47" i="25"/>
  <c r="T47" i="25" s="1"/>
  <c r="I47" i="25"/>
  <c r="L48" i="25"/>
  <c r="M48" i="25"/>
  <c r="N48" i="25"/>
  <c r="O48" i="25"/>
  <c r="P48" i="25"/>
  <c r="R48" i="25" s="1"/>
  <c r="H48" i="25"/>
  <c r="S48" i="25"/>
  <c r="Q48" i="25"/>
  <c r="T48" i="25" s="1"/>
  <c r="I48" i="25"/>
  <c r="L49" i="25"/>
  <c r="M49" i="25"/>
  <c r="N49" i="25"/>
  <c r="O49" i="25"/>
  <c r="P49" i="25"/>
  <c r="R49" i="25" s="1"/>
  <c r="Q49" i="25"/>
  <c r="T49" i="25" s="1"/>
  <c r="I49" i="25"/>
  <c r="L50" i="25"/>
  <c r="M50" i="25"/>
  <c r="N50" i="25"/>
  <c r="O50" i="25"/>
  <c r="P50" i="25"/>
  <c r="S50" i="25" s="1"/>
  <c r="R50" i="25"/>
  <c r="Q50" i="25"/>
  <c r="T50" i="25" s="1"/>
  <c r="I50" i="25"/>
  <c r="L51" i="25"/>
  <c r="M51" i="25"/>
  <c r="N51" i="25"/>
  <c r="O51" i="25"/>
  <c r="P51" i="25"/>
  <c r="S51" i="25" s="1"/>
  <c r="M45" i="30" s="1"/>
  <c r="R51" i="25"/>
  <c r="Q51" i="25"/>
  <c r="Q78" i="25" s="1"/>
  <c r="L52" i="25"/>
  <c r="M52" i="25"/>
  <c r="N52" i="25"/>
  <c r="O52" i="25"/>
  <c r="P52" i="25"/>
  <c r="S52" i="25" s="1"/>
  <c r="Q52" i="25"/>
  <c r="T52" i="25" s="1"/>
  <c r="I52" i="25"/>
  <c r="L53" i="25"/>
  <c r="M53" i="25"/>
  <c r="N53" i="25"/>
  <c r="O53" i="25"/>
  <c r="P53" i="25"/>
  <c r="R53" i="25"/>
  <c r="Q53" i="25"/>
  <c r="T53" i="25" s="1"/>
  <c r="L54" i="25"/>
  <c r="M54" i="25"/>
  <c r="N54" i="25"/>
  <c r="O54" i="25"/>
  <c r="P54" i="25"/>
  <c r="S54" i="25" s="1"/>
  <c r="R54" i="25"/>
  <c r="Q54" i="25"/>
  <c r="T54" i="25" s="1"/>
  <c r="I54" i="25"/>
  <c r="L55" i="25"/>
  <c r="M55" i="25"/>
  <c r="N55" i="25"/>
  <c r="O55" i="25"/>
  <c r="P55" i="25"/>
  <c r="S55" i="25" s="1"/>
  <c r="M46" i="30" s="1"/>
  <c r="R55" i="25"/>
  <c r="Q55" i="25"/>
  <c r="T55" i="25" s="1"/>
  <c r="N46" i="30" s="1"/>
  <c r="I55" i="25"/>
  <c r="L56" i="25"/>
  <c r="M56" i="25"/>
  <c r="N56" i="25"/>
  <c r="O56" i="25"/>
  <c r="P56" i="25"/>
  <c r="S56" i="25" s="1"/>
  <c r="Q56" i="25"/>
  <c r="T56" i="25" s="1"/>
  <c r="L57" i="25"/>
  <c r="M57" i="25"/>
  <c r="N57" i="25"/>
  <c r="O57" i="25"/>
  <c r="P57" i="25"/>
  <c r="S57" i="25" s="1"/>
  <c r="H57" i="25"/>
  <c r="Q57" i="25"/>
  <c r="L58" i="25"/>
  <c r="M58" i="25"/>
  <c r="N58" i="25"/>
  <c r="O58" i="25"/>
  <c r="P58" i="25"/>
  <c r="S58" i="25" s="1"/>
  <c r="Q58" i="25"/>
  <c r="T58" i="25" s="1"/>
  <c r="I58" i="25"/>
  <c r="D4" i="25"/>
  <c r="E4" i="25"/>
  <c r="F4" i="25"/>
  <c r="G4" i="25"/>
  <c r="H4" i="25"/>
  <c r="D5" i="25"/>
  <c r="E5" i="25"/>
  <c r="F5" i="25"/>
  <c r="G5" i="25"/>
  <c r="H5" i="25"/>
  <c r="J5" i="25"/>
  <c r="I5" i="25"/>
  <c r="I3" i="25"/>
  <c r="I6" i="25"/>
  <c r="I7" i="25"/>
  <c r="I8" i="25"/>
  <c r="I12" i="25"/>
  <c r="I18" i="25"/>
  <c r="I19" i="25"/>
  <c r="I23" i="25"/>
  <c r="I27" i="25"/>
  <c r="I32" i="25"/>
  <c r="I34" i="25"/>
  <c r="I35" i="25"/>
  <c r="I40" i="25"/>
  <c r="I41" i="25"/>
  <c r="I46" i="25"/>
  <c r="I51" i="25"/>
  <c r="I53" i="25"/>
  <c r="I56" i="25"/>
  <c r="I57" i="25"/>
  <c r="I81" i="25"/>
  <c r="D6" i="25"/>
  <c r="E6" i="25"/>
  <c r="F6" i="25"/>
  <c r="G6" i="25"/>
  <c r="H6" i="25"/>
  <c r="J6" i="25"/>
  <c r="D7" i="25"/>
  <c r="E7" i="25"/>
  <c r="F7" i="25"/>
  <c r="G7" i="25"/>
  <c r="J7" i="25"/>
  <c r="D8" i="25"/>
  <c r="E8" i="25"/>
  <c r="F8" i="25"/>
  <c r="G8" i="25"/>
  <c r="D9" i="25"/>
  <c r="E9" i="25"/>
  <c r="F9" i="25"/>
  <c r="G9" i="25"/>
  <c r="H9" i="25"/>
  <c r="J9" i="25"/>
  <c r="D10" i="25"/>
  <c r="E10" i="25"/>
  <c r="F10" i="25"/>
  <c r="G10" i="25"/>
  <c r="H10" i="25"/>
  <c r="D11" i="25"/>
  <c r="E11" i="25"/>
  <c r="F11" i="25"/>
  <c r="G11" i="25"/>
  <c r="H11" i="25"/>
  <c r="J11" i="25"/>
  <c r="D12" i="25"/>
  <c r="E12" i="25"/>
  <c r="F12" i="25"/>
  <c r="G12" i="25"/>
  <c r="H12" i="25"/>
  <c r="D13" i="25"/>
  <c r="E13" i="25"/>
  <c r="F13" i="25"/>
  <c r="G13" i="25"/>
  <c r="H13" i="25"/>
  <c r="J13" i="25"/>
  <c r="D14" i="25"/>
  <c r="E14" i="25"/>
  <c r="F14" i="25"/>
  <c r="G14" i="25"/>
  <c r="H14" i="25"/>
  <c r="J14" i="25"/>
  <c r="D15" i="25"/>
  <c r="E15" i="25"/>
  <c r="F15" i="25"/>
  <c r="G15" i="25"/>
  <c r="H15" i="25"/>
  <c r="J15" i="25"/>
  <c r="D16" i="25"/>
  <c r="E16" i="25"/>
  <c r="F16" i="25"/>
  <c r="G16" i="25"/>
  <c r="H16" i="25"/>
  <c r="D17" i="25"/>
  <c r="E17" i="25"/>
  <c r="F17" i="25"/>
  <c r="G17" i="25"/>
  <c r="H17" i="25"/>
  <c r="J17" i="25"/>
  <c r="D18" i="25"/>
  <c r="E18" i="25"/>
  <c r="F18" i="25"/>
  <c r="G18" i="25"/>
  <c r="H18" i="25"/>
  <c r="J18" i="25"/>
  <c r="D19" i="25"/>
  <c r="E19" i="25"/>
  <c r="F19" i="25"/>
  <c r="G19" i="25"/>
  <c r="J19" i="25"/>
  <c r="I76" i="25"/>
  <c r="D20" i="25"/>
  <c r="E20" i="25"/>
  <c r="F20" i="25"/>
  <c r="G20" i="25"/>
  <c r="H20" i="25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/>
  <c r="D27" i="25"/>
  <c r="E27" i="25"/>
  <c r="F27" i="25"/>
  <c r="G27" i="25"/>
  <c r="H27" i="25"/>
  <c r="J27" i="25"/>
  <c r="D28" i="25"/>
  <c r="E28" i="25"/>
  <c r="F28" i="25"/>
  <c r="G28" i="25"/>
  <c r="H28" i="25"/>
  <c r="J28" i="25"/>
  <c r="D29" i="25"/>
  <c r="E29" i="25"/>
  <c r="F29" i="25"/>
  <c r="G29" i="25"/>
  <c r="H29" i="25"/>
  <c r="J29" i="25"/>
  <c r="D30" i="25"/>
  <c r="E30" i="25"/>
  <c r="F30" i="25"/>
  <c r="G30" i="25"/>
  <c r="H30" i="25"/>
  <c r="D31" i="25"/>
  <c r="E31" i="25"/>
  <c r="F31" i="25"/>
  <c r="G31" i="25"/>
  <c r="H31" i="25"/>
  <c r="J31" i="25"/>
  <c r="D32" i="25"/>
  <c r="E32" i="25"/>
  <c r="F32" i="25"/>
  <c r="G32" i="25"/>
  <c r="H32" i="25"/>
  <c r="D33" i="25"/>
  <c r="E33" i="25"/>
  <c r="F33" i="25"/>
  <c r="G33" i="25"/>
  <c r="H33" i="25"/>
  <c r="D34" i="25"/>
  <c r="E34" i="25"/>
  <c r="F34" i="25"/>
  <c r="G34" i="25"/>
  <c r="J34" i="25"/>
  <c r="D35" i="25"/>
  <c r="E35" i="25"/>
  <c r="F35" i="25"/>
  <c r="G35" i="25"/>
  <c r="H35" i="25"/>
  <c r="J35" i="25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/>
  <c r="D39" i="25"/>
  <c r="E39" i="25"/>
  <c r="F39" i="25"/>
  <c r="G39" i="25"/>
  <c r="H39" i="25"/>
  <c r="J39" i="25"/>
  <c r="D40" i="25"/>
  <c r="E40" i="25"/>
  <c r="F40" i="25"/>
  <c r="G40" i="25"/>
  <c r="H40" i="25"/>
  <c r="D41" i="25"/>
  <c r="E41" i="25"/>
  <c r="F41" i="25"/>
  <c r="G41" i="25"/>
  <c r="H41" i="25"/>
  <c r="J41" i="25"/>
  <c r="D42" i="25"/>
  <c r="E42" i="25"/>
  <c r="F42" i="25"/>
  <c r="G42" i="25"/>
  <c r="J42" i="25"/>
  <c r="D43" i="25"/>
  <c r="E43" i="25"/>
  <c r="F43" i="25"/>
  <c r="G43" i="25"/>
  <c r="J43" i="25"/>
  <c r="D44" i="25"/>
  <c r="E44" i="25"/>
  <c r="F44" i="25"/>
  <c r="G44" i="25"/>
  <c r="H44" i="25"/>
  <c r="D45" i="25"/>
  <c r="E45" i="25"/>
  <c r="F45" i="25"/>
  <c r="G45" i="25"/>
  <c r="H45" i="25"/>
  <c r="J45" i="25"/>
  <c r="D46" i="25"/>
  <c r="E46" i="25"/>
  <c r="F46" i="25"/>
  <c r="G46" i="25"/>
  <c r="H46" i="25"/>
  <c r="J46" i="25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D50" i="25"/>
  <c r="E50" i="25"/>
  <c r="F50" i="25"/>
  <c r="G50" i="25"/>
  <c r="H50" i="25"/>
  <c r="J50" i="25"/>
  <c r="D51" i="25"/>
  <c r="E51" i="25"/>
  <c r="F51" i="25"/>
  <c r="G51" i="25"/>
  <c r="H51" i="25"/>
  <c r="J51" i="25"/>
  <c r="D52" i="25"/>
  <c r="E52" i="25"/>
  <c r="F52" i="25"/>
  <c r="G52" i="25"/>
  <c r="H52" i="25"/>
  <c r="D53" i="25"/>
  <c r="E53" i="25"/>
  <c r="F53" i="25"/>
  <c r="G53" i="25"/>
  <c r="H53" i="25"/>
  <c r="J53" i="25"/>
  <c r="D54" i="25"/>
  <c r="E54" i="25"/>
  <c r="F54" i="25"/>
  <c r="G54" i="25"/>
  <c r="H54" i="25"/>
  <c r="D55" i="25"/>
  <c r="E55" i="25"/>
  <c r="F55" i="25"/>
  <c r="G55" i="25"/>
  <c r="H55" i="25"/>
  <c r="J55" i="25"/>
  <c r="D56" i="25"/>
  <c r="E56" i="25"/>
  <c r="F56" i="25"/>
  <c r="G56" i="25"/>
  <c r="H56" i="25"/>
  <c r="J56" i="25"/>
  <c r="D57" i="25"/>
  <c r="E57" i="25"/>
  <c r="F57" i="25"/>
  <c r="G57" i="25"/>
  <c r="J57" i="25"/>
  <c r="D58" i="25"/>
  <c r="E58" i="25"/>
  <c r="F58" i="25"/>
  <c r="G58" i="25"/>
  <c r="H58" i="25"/>
  <c r="Q3" i="25"/>
  <c r="T3" i="25"/>
  <c r="P3" i="25"/>
  <c r="S3" i="25" s="1"/>
  <c r="R3" i="25"/>
  <c r="O3" i="25"/>
  <c r="N3" i="25"/>
  <c r="M3" i="25"/>
  <c r="L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T73" i="20" s="1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/>
  <c r="G71" i="20"/>
  <c r="F71" i="20"/>
  <c r="E71" i="20"/>
  <c r="D71" i="20"/>
  <c r="Q70" i="20"/>
  <c r="I70" i="20"/>
  <c r="P70" i="20"/>
  <c r="S70" i="20" s="1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S68" i="20" s="1"/>
  <c r="O68" i="20"/>
  <c r="N68" i="20"/>
  <c r="M68" i="20"/>
  <c r="L68" i="20"/>
  <c r="G68" i="20"/>
  <c r="F68" i="20"/>
  <c r="E68" i="20"/>
  <c r="D68" i="20"/>
  <c r="Q67" i="20"/>
  <c r="I67" i="20"/>
  <c r="P67" i="20"/>
  <c r="S67" i="20" s="1"/>
  <c r="R67" i="20"/>
  <c r="O67" i="20"/>
  <c r="N67" i="20"/>
  <c r="M67" i="20"/>
  <c r="L67" i="20"/>
  <c r="H67" i="20"/>
  <c r="J67" i="20"/>
  <c r="G67" i="20"/>
  <c r="F67" i="20"/>
  <c r="E67" i="20"/>
  <c r="D67" i="20"/>
  <c r="Q66" i="20"/>
  <c r="T66" i="20" s="1"/>
  <c r="I66" i="20"/>
  <c r="P66" i="20"/>
  <c r="S66" i="20" s="1"/>
  <c r="R66" i="20"/>
  <c r="O66" i="20"/>
  <c r="N66" i="20"/>
  <c r="M66" i="20"/>
  <c r="L66" i="20"/>
  <c r="H66" i="20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/>
  <c r="G65" i="20"/>
  <c r="F65" i="20"/>
  <c r="E65" i="20"/>
  <c r="D65" i="20"/>
  <c r="Q64" i="20"/>
  <c r="T64" i="20" s="1"/>
  <c r="P64" i="20"/>
  <c r="S64" i="20" s="1"/>
  <c r="O64" i="20"/>
  <c r="N64" i="20"/>
  <c r="M64" i="20"/>
  <c r="L64" i="20"/>
  <c r="I64" i="20"/>
  <c r="H64" i="20"/>
  <c r="J64" i="20"/>
  <c r="G64" i="20"/>
  <c r="F64" i="20"/>
  <c r="E64" i="20"/>
  <c r="D64" i="20"/>
  <c r="Q63" i="20"/>
  <c r="I63" i="20"/>
  <c r="P63" i="20"/>
  <c r="S63" i="20" s="1"/>
  <c r="R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/>
  <c r="G62" i="20"/>
  <c r="F62" i="20"/>
  <c r="E62" i="20"/>
  <c r="D62" i="20"/>
  <c r="Q61" i="20"/>
  <c r="T61" i="20" s="1"/>
  <c r="P61" i="20"/>
  <c r="S61" i="20" s="1"/>
  <c r="O61" i="20"/>
  <c r="N61" i="20"/>
  <c r="M61" i="20"/>
  <c r="L61" i="20"/>
  <c r="I61" i="20"/>
  <c r="H61" i="20"/>
  <c r="J61" i="20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/>
  <c r="G59" i="20"/>
  <c r="F59" i="20"/>
  <c r="E59" i="20"/>
  <c r="D59" i="20"/>
  <c r="M3" i="20"/>
  <c r="N3" i="20"/>
  <c r="O3" i="20"/>
  <c r="P3" i="20"/>
  <c r="S3" i="20" s="1"/>
  <c r="H3" i="20"/>
  <c r="Q3" i="20"/>
  <c r="M4" i="20"/>
  <c r="N4" i="20"/>
  <c r="O4" i="20"/>
  <c r="P4" i="20"/>
  <c r="Q4" i="20"/>
  <c r="T4" i="20" s="1"/>
  <c r="M5" i="20"/>
  <c r="N5" i="20"/>
  <c r="O5" i="20"/>
  <c r="P5" i="20"/>
  <c r="Q5" i="20"/>
  <c r="T5" i="20" s="1"/>
  <c r="I5" i="20"/>
  <c r="M6" i="20"/>
  <c r="N6" i="20"/>
  <c r="O6" i="20"/>
  <c r="P6" i="20"/>
  <c r="Q6" i="20"/>
  <c r="M7" i="20"/>
  <c r="N7" i="20"/>
  <c r="O7" i="20"/>
  <c r="P7" i="20"/>
  <c r="R7" i="20"/>
  <c r="Q7" i="20"/>
  <c r="T7" i="20" s="1"/>
  <c r="M8" i="20"/>
  <c r="N8" i="20"/>
  <c r="O8" i="20"/>
  <c r="P8" i="20"/>
  <c r="S8" i="20" s="1"/>
  <c r="Q8" i="20"/>
  <c r="T8" i="20" s="1"/>
  <c r="I8" i="20"/>
  <c r="M9" i="20"/>
  <c r="N9" i="20"/>
  <c r="O9" i="20"/>
  <c r="P9" i="20"/>
  <c r="R9" i="20" s="1"/>
  <c r="Q9" i="20"/>
  <c r="T9" i="20" s="1"/>
  <c r="M10" i="20"/>
  <c r="N10" i="20"/>
  <c r="O10" i="20"/>
  <c r="P10" i="20"/>
  <c r="R10" i="20" s="1"/>
  <c r="Q10" i="20"/>
  <c r="T10" i="20" s="1"/>
  <c r="M11" i="20"/>
  <c r="N11" i="20"/>
  <c r="O11" i="20"/>
  <c r="P11" i="20"/>
  <c r="S11" i="20" s="1"/>
  <c r="Q11" i="20"/>
  <c r="I11" i="20"/>
  <c r="M12" i="20"/>
  <c r="N12" i="20"/>
  <c r="O12" i="20"/>
  <c r="P12" i="20"/>
  <c r="S12" i="20" s="1"/>
  <c r="Q12" i="20"/>
  <c r="T12" i="20" s="1"/>
  <c r="M13" i="20"/>
  <c r="N13" i="20"/>
  <c r="O13" i="20"/>
  <c r="P13" i="20"/>
  <c r="R13" i="20" s="1"/>
  <c r="H13" i="20"/>
  <c r="Q13" i="20"/>
  <c r="I13" i="20"/>
  <c r="T13" i="20"/>
  <c r="M14" i="20"/>
  <c r="N14" i="20"/>
  <c r="O14" i="20"/>
  <c r="P14" i="20"/>
  <c r="S14" i="20" s="1"/>
  <c r="Q14" i="20"/>
  <c r="T14" i="20" s="1"/>
  <c r="M15" i="20"/>
  <c r="N15" i="20"/>
  <c r="O15" i="20"/>
  <c r="P15" i="20"/>
  <c r="S15" i="20" s="1"/>
  <c r="Q15" i="20"/>
  <c r="T15" i="20" s="1"/>
  <c r="M16" i="20"/>
  <c r="N16" i="20"/>
  <c r="O16" i="20"/>
  <c r="P16" i="20"/>
  <c r="R16" i="20" s="1"/>
  <c r="H16" i="20"/>
  <c r="Q16" i="20"/>
  <c r="T16" i="20" s="1"/>
  <c r="M17" i="20"/>
  <c r="N17" i="20"/>
  <c r="O17" i="20"/>
  <c r="P17" i="20"/>
  <c r="R17" i="20" s="1"/>
  <c r="Q17" i="20"/>
  <c r="T17" i="20" s="1"/>
  <c r="M18" i="20"/>
  <c r="N18" i="20"/>
  <c r="O18" i="20"/>
  <c r="P18" i="20"/>
  <c r="S18" i="20" s="1"/>
  <c r="R18" i="20"/>
  <c r="Q18" i="20"/>
  <c r="T18" i="20" s="1"/>
  <c r="M19" i="20"/>
  <c r="N19" i="20"/>
  <c r="O19" i="20"/>
  <c r="P19" i="20"/>
  <c r="S19" i="20" s="1"/>
  <c r="H19" i="20"/>
  <c r="Q19" i="20"/>
  <c r="T19" i="20" s="1"/>
  <c r="I19" i="20"/>
  <c r="M20" i="20"/>
  <c r="N20" i="20"/>
  <c r="O20" i="20"/>
  <c r="P20" i="20"/>
  <c r="S20" i="20" s="1"/>
  <c r="Q20" i="20"/>
  <c r="M21" i="20"/>
  <c r="N21" i="20"/>
  <c r="O21" i="20"/>
  <c r="P21" i="20"/>
  <c r="S21" i="20" s="1"/>
  <c r="Q21" i="20"/>
  <c r="M22" i="20"/>
  <c r="N22" i="20"/>
  <c r="O22" i="20"/>
  <c r="P22" i="20"/>
  <c r="R22" i="20" s="1"/>
  <c r="Q22" i="20"/>
  <c r="T22" i="20" s="1"/>
  <c r="I22" i="20"/>
  <c r="M23" i="20"/>
  <c r="N23" i="20"/>
  <c r="O23" i="20"/>
  <c r="P23" i="20"/>
  <c r="Q23" i="20"/>
  <c r="T23" i="20" s="1"/>
  <c r="M24" i="20"/>
  <c r="N24" i="20"/>
  <c r="O24" i="20"/>
  <c r="P24" i="20"/>
  <c r="S24" i="20" s="1"/>
  <c r="R24" i="20"/>
  <c r="Q24" i="20"/>
  <c r="T24" i="20" s="1"/>
  <c r="M25" i="20"/>
  <c r="N25" i="20"/>
  <c r="O25" i="20"/>
  <c r="P25" i="20"/>
  <c r="S25" i="20" s="1"/>
  <c r="Q25" i="20"/>
  <c r="T25" i="20" s="1"/>
  <c r="I25" i="20"/>
  <c r="M26" i="20"/>
  <c r="N26" i="20"/>
  <c r="O26" i="20"/>
  <c r="P26" i="20"/>
  <c r="S26" i="20" s="1"/>
  <c r="Q26" i="20"/>
  <c r="T26" i="20" s="1"/>
  <c r="M27" i="20"/>
  <c r="N27" i="20"/>
  <c r="O27" i="20"/>
  <c r="P27" i="20"/>
  <c r="R27" i="20" s="1"/>
  <c r="H27" i="20"/>
  <c r="Q27" i="20"/>
  <c r="T27" i="20" s="1"/>
  <c r="M28" i="20"/>
  <c r="N28" i="20"/>
  <c r="O28" i="20"/>
  <c r="P28" i="20"/>
  <c r="R28" i="20" s="1"/>
  <c r="Q28" i="20"/>
  <c r="T28" i="20" s="1"/>
  <c r="I28" i="20"/>
  <c r="M29" i="20"/>
  <c r="N29" i="20"/>
  <c r="O29" i="20"/>
  <c r="P29" i="20"/>
  <c r="S29" i="20" s="1"/>
  <c r="Q29" i="20"/>
  <c r="M30" i="20"/>
  <c r="N30" i="20"/>
  <c r="O30" i="20"/>
  <c r="P30" i="20"/>
  <c r="S30" i="20" s="1"/>
  <c r="Q30" i="20"/>
  <c r="T30" i="20" s="1"/>
  <c r="I30" i="20"/>
  <c r="M31" i="20"/>
  <c r="N31" i="20"/>
  <c r="O31" i="20"/>
  <c r="P31" i="20"/>
  <c r="S31" i="20" s="1"/>
  <c r="Q31" i="20"/>
  <c r="T31" i="20" s="1"/>
  <c r="I31" i="20"/>
  <c r="M32" i="20"/>
  <c r="N32" i="20"/>
  <c r="O32" i="20"/>
  <c r="P32" i="20"/>
  <c r="R32" i="20" s="1"/>
  <c r="Q32" i="20"/>
  <c r="T32" i="20" s="1"/>
  <c r="M33" i="20"/>
  <c r="N33" i="20"/>
  <c r="O33" i="20"/>
  <c r="P33" i="20"/>
  <c r="S33" i="20" s="1"/>
  <c r="Q33" i="20"/>
  <c r="T33" i="20" s="1"/>
  <c r="I33" i="20"/>
  <c r="M34" i="20"/>
  <c r="N34" i="20"/>
  <c r="O34" i="20"/>
  <c r="P34" i="20"/>
  <c r="R34" i="20" s="1"/>
  <c r="Q34" i="20"/>
  <c r="T34" i="20" s="1"/>
  <c r="M35" i="20"/>
  <c r="N35" i="20"/>
  <c r="O35" i="20"/>
  <c r="P35" i="20"/>
  <c r="R35" i="20" s="1"/>
  <c r="Q35" i="20"/>
  <c r="T35" i="20" s="1"/>
  <c r="M36" i="20"/>
  <c r="N36" i="20"/>
  <c r="O36" i="20"/>
  <c r="P36" i="20"/>
  <c r="Q36" i="20"/>
  <c r="T36" i="20" s="1"/>
  <c r="M37" i="20"/>
  <c r="N37" i="20"/>
  <c r="O37" i="20"/>
  <c r="P37" i="20"/>
  <c r="R37" i="20" s="1"/>
  <c r="Q37" i="20"/>
  <c r="T37" i="20" s="1"/>
  <c r="M38" i="20"/>
  <c r="N38" i="20"/>
  <c r="O38" i="20"/>
  <c r="P38" i="20"/>
  <c r="R38" i="20" s="1"/>
  <c r="Q38" i="20"/>
  <c r="T38" i="20" s="1"/>
  <c r="I38" i="20"/>
  <c r="M39" i="20"/>
  <c r="N39" i="20"/>
  <c r="O39" i="20"/>
  <c r="P39" i="20"/>
  <c r="R39" i="20" s="1"/>
  <c r="Q39" i="20"/>
  <c r="M40" i="20"/>
  <c r="N40" i="20"/>
  <c r="O40" i="20"/>
  <c r="P40" i="20"/>
  <c r="S40" i="20" s="1"/>
  <c r="Q40" i="20"/>
  <c r="T40" i="20" s="1"/>
  <c r="M41" i="20"/>
  <c r="N41" i="20"/>
  <c r="O41" i="20"/>
  <c r="P41" i="20"/>
  <c r="S41" i="20" s="1"/>
  <c r="Q41" i="20"/>
  <c r="T41" i="20" s="1"/>
  <c r="I41" i="20"/>
  <c r="M42" i="20"/>
  <c r="N42" i="20"/>
  <c r="O42" i="20"/>
  <c r="P42" i="20"/>
  <c r="R42" i="20" s="1"/>
  <c r="Q42" i="20"/>
  <c r="T42" i="20" s="1"/>
  <c r="M43" i="20"/>
  <c r="N43" i="20"/>
  <c r="O43" i="20"/>
  <c r="P43" i="20"/>
  <c r="S43" i="20" s="1"/>
  <c r="Q43" i="20"/>
  <c r="T43" i="20" s="1"/>
  <c r="M44" i="20"/>
  <c r="N44" i="20"/>
  <c r="O44" i="20"/>
  <c r="P44" i="20"/>
  <c r="Q44" i="20"/>
  <c r="T44" i="20" s="1"/>
  <c r="I44" i="20"/>
  <c r="M45" i="20"/>
  <c r="N45" i="20"/>
  <c r="O45" i="20"/>
  <c r="P45" i="20"/>
  <c r="S45" i="20" s="1"/>
  <c r="R45" i="20"/>
  <c r="Q45" i="20"/>
  <c r="T45" i="20" s="1"/>
  <c r="I45" i="20"/>
  <c r="M46" i="20"/>
  <c r="N46" i="20"/>
  <c r="O46" i="20"/>
  <c r="P46" i="20"/>
  <c r="R46" i="20" s="1"/>
  <c r="H46" i="20"/>
  <c r="S46" i="20"/>
  <c r="Q46" i="20"/>
  <c r="T46" i="20" s="1"/>
  <c r="M47" i="20"/>
  <c r="N47" i="20"/>
  <c r="O47" i="20"/>
  <c r="P47" i="20"/>
  <c r="R47" i="20"/>
  <c r="Q47" i="20"/>
  <c r="T47" i="20" s="1"/>
  <c r="I47" i="20"/>
  <c r="M48" i="20"/>
  <c r="N48" i="20"/>
  <c r="O48" i="20"/>
  <c r="P48" i="20"/>
  <c r="H48" i="20"/>
  <c r="Q48" i="20"/>
  <c r="T48" i="20" s="1"/>
  <c r="M49" i="20"/>
  <c r="N49" i="20"/>
  <c r="O49" i="20"/>
  <c r="P49" i="20"/>
  <c r="R49" i="20" s="1"/>
  <c r="Q49" i="20"/>
  <c r="T49" i="20" s="1"/>
  <c r="I49" i="20"/>
  <c r="M50" i="20"/>
  <c r="N50" i="20"/>
  <c r="O50" i="20"/>
  <c r="P50" i="20"/>
  <c r="Q50" i="20"/>
  <c r="T50" i="20" s="1"/>
  <c r="I50" i="20"/>
  <c r="M51" i="20"/>
  <c r="N51" i="20"/>
  <c r="O51" i="20"/>
  <c r="P51" i="20"/>
  <c r="R51" i="20" s="1"/>
  <c r="Q51" i="20"/>
  <c r="T51" i="20" s="1"/>
  <c r="T78" i="20" s="1"/>
  <c r="M52" i="20"/>
  <c r="N52" i="20"/>
  <c r="O52" i="20"/>
  <c r="P52" i="20"/>
  <c r="S52" i="20" s="1"/>
  <c r="Q52" i="20"/>
  <c r="T52" i="20" s="1"/>
  <c r="I52" i="20"/>
  <c r="M53" i="20"/>
  <c r="N53" i="20"/>
  <c r="O53" i="20"/>
  <c r="P53" i="20"/>
  <c r="R53" i="20" s="1"/>
  <c r="Q53" i="20"/>
  <c r="T53" i="20" s="1"/>
  <c r="M54" i="20"/>
  <c r="N54" i="20"/>
  <c r="O54" i="20"/>
  <c r="P54" i="20"/>
  <c r="S54" i="20" s="1"/>
  <c r="R54" i="20"/>
  <c r="Q54" i="20"/>
  <c r="T54" i="20" s="1"/>
  <c r="M55" i="20"/>
  <c r="N55" i="20"/>
  <c r="O55" i="20"/>
  <c r="P55" i="20"/>
  <c r="S55" i="20" s="1"/>
  <c r="F46" i="30" s="1"/>
  <c r="R55" i="20"/>
  <c r="Q55" i="20"/>
  <c r="T55" i="20" s="1"/>
  <c r="G46" i="30" s="1"/>
  <c r="I55" i="20"/>
  <c r="M56" i="20"/>
  <c r="N56" i="20"/>
  <c r="O56" i="20"/>
  <c r="P56" i="20"/>
  <c r="S56" i="20" s="1"/>
  <c r="R56" i="20"/>
  <c r="Q56" i="20"/>
  <c r="T56" i="20" s="1"/>
  <c r="M57" i="20"/>
  <c r="N57" i="20"/>
  <c r="O57" i="20"/>
  <c r="P57" i="20"/>
  <c r="S57" i="20" s="1"/>
  <c r="R57" i="20"/>
  <c r="Q57" i="20"/>
  <c r="T57" i="20" s="1"/>
  <c r="M58" i="20"/>
  <c r="N58" i="20"/>
  <c r="O58" i="20"/>
  <c r="P58" i="20"/>
  <c r="S58" i="20" s="1"/>
  <c r="Q58" i="20"/>
  <c r="T58" i="20" s="1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3" i="20"/>
  <c r="E3" i="20"/>
  <c r="F3" i="20"/>
  <c r="G3" i="20"/>
  <c r="J3" i="20"/>
  <c r="I3" i="20"/>
  <c r="E4" i="20"/>
  <c r="F4" i="20"/>
  <c r="G4" i="20"/>
  <c r="H4" i="20"/>
  <c r="J4" i="20"/>
  <c r="I4" i="20"/>
  <c r="E5" i="20"/>
  <c r="F5" i="20"/>
  <c r="G5" i="20"/>
  <c r="H5" i="20"/>
  <c r="J5" i="20"/>
  <c r="I6" i="20"/>
  <c r="I7" i="20"/>
  <c r="I9" i="20"/>
  <c r="I10" i="20"/>
  <c r="I12" i="20"/>
  <c r="I14" i="20"/>
  <c r="I15" i="20"/>
  <c r="I16" i="20"/>
  <c r="I17" i="20"/>
  <c r="I18" i="20"/>
  <c r="I75" i="20"/>
  <c r="E6" i="20"/>
  <c r="F6" i="20"/>
  <c r="G6" i="20"/>
  <c r="H6" i="20"/>
  <c r="J6" i="20"/>
  <c r="E7" i="20"/>
  <c r="F7" i="20"/>
  <c r="G7" i="20"/>
  <c r="H7" i="20"/>
  <c r="E8" i="20"/>
  <c r="F8" i="20"/>
  <c r="G8" i="20"/>
  <c r="H8" i="20"/>
  <c r="J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J11" i="20"/>
  <c r="E12" i="20"/>
  <c r="F12" i="20"/>
  <c r="G12" i="20"/>
  <c r="H12" i="20"/>
  <c r="J12" i="20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I80" i="20"/>
  <c r="E13" i="20"/>
  <c r="F13" i="20"/>
  <c r="G13" i="20"/>
  <c r="E14" i="20"/>
  <c r="F14" i="20"/>
  <c r="G14" i="20"/>
  <c r="H14" i="20"/>
  <c r="J14" i="20"/>
  <c r="E15" i="20"/>
  <c r="F15" i="20"/>
  <c r="G15" i="20"/>
  <c r="H15" i="20"/>
  <c r="E16" i="20"/>
  <c r="F16" i="20"/>
  <c r="G16" i="20"/>
  <c r="E17" i="20"/>
  <c r="F17" i="20"/>
  <c r="G17" i="20"/>
  <c r="H17" i="20"/>
  <c r="J17" i="20"/>
  <c r="E18" i="20"/>
  <c r="F18" i="20"/>
  <c r="G18" i="20"/>
  <c r="H18" i="20"/>
  <c r="E19" i="20"/>
  <c r="F19" i="20"/>
  <c r="G19" i="20"/>
  <c r="J19" i="20"/>
  <c r="H20" i="20"/>
  <c r="J20" i="20"/>
  <c r="H21" i="20"/>
  <c r="J21" i="20"/>
  <c r="H22" i="20"/>
  <c r="J22" i="20"/>
  <c r="H23" i="20"/>
  <c r="J23" i="20"/>
  <c r="H24" i="20"/>
  <c r="J24" i="20"/>
  <c r="H25" i="20"/>
  <c r="J25" i="20"/>
  <c r="H26" i="20"/>
  <c r="J26" i="20"/>
  <c r="J27" i="20"/>
  <c r="H28" i="20"/>
  <c r="J28" i="20"/>
  <c r="H29" i="20"/>
  <c r="J29" i="20"/>
  <c r="H30" i="20"/>
  <c r="J30" i="20"/>
  <c r="H31" i="20"/>
  <c r="J31" i="20"/>
  <c r="H32" i="20"/>
  <c r="J32" i="20"/>
  <c r="H33" i="20"/>
  <c r="J33" i="20"/>
  <c r="H34" i="20"/>
  <c r="J34" i="20"/>
  <c r="J76" i="20"/>
  <c r="E20" i="20"/>
  <c r="F20" i="20"/>
  <c r="G20" i="20"/>
  <c r="I76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/>
  <c r="E36" i="20"/>
  <c r="F36" i="20"/>
  <c r="G36" i="20"/>
  <c r="H36" i="20"/>
  <c r="J36" i="20"/>
  <c r="I77" i="20"/>
  <c r="E37" i="20"/>
  <c r="F37" i="20"/>
  <c r="G37" i="20"/>
  <c r="H37" i="20"/>
  <c r="E38" i="20"/>
  <c r="F38" i="20"/>
  <c r="G38" i="20"/>
  <c r="H38" i="20"/>
  <c r="J38" i="20"/>
  <c r="E39" i="20"/>
  <c r="F39" i="20"/>
  <c r="G39" i="20"/>
  <c r="H39" i="20"/>
  <c r="J39" i="20"/>
  <c r="E40" i="20"/>
  <c r="F40" i="20"/>
  <c r="G40" i="20"/>
  <c r="H40" i="20"/>
  <c r="J40" i="20"/>
  <c r="E41" i="20"/>
  <c r="F41" i="20"/>
  <c r="G41" i="20"/>
  <c r="H41" i="20"/>
  <c r="E42" i="20"/>
  <c r="F42" i="20"/>
  <c r="G42" i="20"/>
  <c r="H42" i="20"/>
  <c r="E43" i="20"/>
  <c r="F43" i="20"/>
  <c r="G43" i="20"/>
  <c r="H43" i="20"/>
  <c r="J43" i="20"/>
  <c r="E44" i="20"/>
  <c r="F44" i="20"/>
  <c r="G44" i="20"/>
  <c r="H44" i="20"/>
  <c r="J44" i="20"/>
  <c r="E45" i="20"/>
  <c r="F45" i="20"/>
  <c r="G45" i="20"/>
  <c r="H45" i="20"/>
  <c r="E46" i="20"/>
  <c r="F46" i="20"/>
  <c r="G46" i="20"/>
  <c r="J46" i="20"/>
  <c r="E47" i="20"/>
  <c r="F47" i="20"/>
  <c r="G47" i="20"/>
  <c r="H47" i="20"/>
  <c r="E48" i="20"/>
  <c r="F48" i="20"/>
  <c r="G48" i="20"/>
  <c r="J48" i="20"/>
  <c r="E49" i="20"/>
  <c r="F49" i="20"/>
  <c r="G49" i="20"/>
  <c r="H49" i="20"/>
  <c r="J49" i="20"/>
  <c r="E50" i="20"/>
  <c r="F50" i="20"/>
  <c r="G50" i="20"/>
  <c r="H50" i="20"/>
  <c r="E51" i="20"/>
  <c r="F51" i="20"/>
  <c r="G51" i="20"/>
  <c r="H51" i="20"/>
  <c r="J51" i="20"/>
  <c r="I51" i="20"/>
  <c r="E52" i="20"/>
  <c r="F52" i="20"/>
  <c r="G52" i="20"/>
  <c r="H52" i="20"/>
  <c r="E53" i="20"/>
  <c r="F53" i="20"/>
  <c r="G53" i="20"/>
  <c r="H53" i="20"/>
  <c r="I53" i="20"/>
  <c r="I54" i="20"/>
  <c r="I56" i="20"/>
  <c r="I57" i="20"/>
  <c r="I58" i="20"/>
  <c r="I78" i="20"/>
  <c r="E54" i="20"/>
  <c r="F54" i="20"/>
  <c r="G54" i="20"/>
  <c r="H54" i="20"/>
  <c r="J54" i="20"/>
  <c r="E55" i="20"/>
  <c r="F55" i="20"/>
  <c r="G55" i="20"/>
  <c r="H55" i="20"/>
  <c r="E56" i="20"/>
  <c r="F56" i="20"/>
  <c r="G56" i="20"/>
  <c r="H56" i="20"/>
  <c r="J56" i="20"/>
  <c r="E57" i="20"/>
  <c r="F57" i="20"/>
  <c r="G57" i="20"/>
  <c r="H57" i="20"/>
  <c r="E58" i="20"/>
  <c r="F58" i="20"/>
  <c r="G58" i="20"/>
  <c r="H58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T74" i="27" s="1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T73" i="27" s="1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T70" i="27" s="1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S69" i="27" s="1"/>
  <c r="O69" i="27"/>
  <c r="N69" i="27"/>
  <c r="M69" i="27"/>
  <c r="L69" i="27"/>
  <c r="I69" i="27"/>
  <c r="H69" i="27"/>
  <c r="J69" i="27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T66" i="27" s="1"/>
  <c r="P66" i="27"/>
  <c r="R66" i="27" s="1"/>
  <c r="O66" i="27"/>
  <c r="N66" i="27"/>
  <c r="M66" i="27"/>
  <c r="L66" i="27"/>
  <c r="H66" i="27"/>
  <c r="J66" i="27"/>
  <c r="G66" i="27"/>
  <c r="F66" i="27"/>
  <c r="E66" i="27"/>
  <c r="D66" i="27"/>
  <c r="Q65" i="27"/>
  <c r="I65" i="27"/>
  <c r="T65" i="27" s="1"/>
  <c r="P65" i="27"/>
  <c r="O65" i="27"/>
  <c r="N65" i="27"/>
  <c r="M65" i="27"/>
  <c r="L65" i="27"/>
  <c r="H65" i="27"/>
  <c r="J65" i="27"/>
  <c r="G65" i="27"/>
  <c r="F65" i="27"/>
  <c r="E65" i="27"/>
  <c r="D65" i="27"/>
  <c r="Q64" i="27"/>
  <c r="P64" i="27"/>
  <c r="H64" i="27"/>
  <c r="S64" i="27"/>
  <c r="R64" i="27"/>
  <c r="O64" i="27"/>
  <c r="N64" i="27"/>
  <c r="M64" i="27"/>
  <c r="L64" i="27"/>
  <c r="I64" i="27"/>
  <c r="J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/>
  <c r="O62" i="27"/>
  <c r="N62" i="27"/>
  <c r="M62" i="27"/>
  <c r="L62" i="27"/>
  <c r="H62" i="27"/>
  <c r="J62" i="27"/>
  <c r="G62" i="27"/>
  <c r="F62" i="27"/>
  <c r="E62" i="27"/>
  <c r="D62" i="27"/>
  <c r="Q61" i="27"/>
  <c r="T61" i="27" s="1"/>
  <c r="P61" i="27"/>
  <c r="R61" i="27" s="1"/>
  <c r="O61" i="27"/>
  <c r="N61" i="27"/>
  <c r="M61" i="27"/>
  <c r="L61" i="27"/>
  <c r="I61" i="27"/>
  <c r="H61" i="27"/>
  <c r="J61" i="27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/>
  <c r="G59" i="27"/>
  <c r="F59" i="27"/>
  <c r="E59" i="27"/>
  <c r="D59" i="27"/>
  <c r="J60" i="29"/>
  <c r="J74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Q3" i="27"/>
  <c r="T3" i="27" s="1"/>
  <c r="I3" i="27"/>
  <c r="P3" i="27"/>
  <c r="S3" i="27" s="1"/>
  <c r="H3" i="27"/>
  <c r="O3" i="27"/>
  <c r="O4" i="27"/>
  <c r="O5" i="27"/>
  <c r="O6" i="27"/>
  <c r="N3" i="27"/>
  <c r="N4" i="27"/>
  <c r="N5" i="27"/>
  <c r="N6" i="27"/>
  <c r="M3" i="27"/>
  <c r="M4" i="27"/>
  <c r="M5" i="27"/>
  <c r="M6" i="27"/>
  <c r="Q55" i="27"/>
  <c r="T55" i="27" s="1"/>
  <c r="G18" i="30" s="1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T51" i="27" s="1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Q47" i="27"/>
  <c r="I47" i="27"/>
  <c r="T47" i="27"/>
  <c r="P47" i="27"/>
  <c r="R47" i="27" s="1"/>
  <c r="O47" i="27"/>
  <c r="O48" i="27"/>
  <c r="O49" i="27"/>
  <c r="O50" i="27"/>
  <c r="N47" i="27"/>
  <c r="N48" i="27"/>
  <c r="N49" i="27"/>
  <c r="N50" i="27"/>
  <c r="M47" i="27"/>
  <c r="M48" i="27"/>
  <c r="M49" i="27"/>
  <c r="M50" i="27"/>
  <c r="Q43" i="27"/>
  <c r="I43" i="27"/>
  <c r="T43" i="27"/>
  <c r="P43" i="27"/>
  <c r="O43" i="27"/>
  <c r="O44" i="27"/>
  <c r="O45" i="27"/>
  <c r="O46" i="27"/>
  <c r="N43" i="27"/>
  <c r="N44" i="27"/>
  <c r="N45" i="27"/>
  <c r="N46" i="27"/>
  <c r="M43" i="27"/>
  <c r="M44" i="27"/>
  <c r="M45" i="27"/>
  <c r="M46" i="27"/>
  <c r="Q39" i="27"/>
  <c r="T39" i="27" s="1"/>
  <c r="I39" i="27"/>
  <c r="P39" i="27"/>
  <c r="O39" i="27"/>
  <c r="O40" i="27"/>
  <c r="O41" i="27"/>
  <c r="O42" i="27"/>
  <c r="N39" i="27"/>
  <c r="N40" i="27"/>
  <c r="N41" i="27"/>
  <c r="N42" i="27"/>
  <c r="M39" i="27"/>
  <c r="M40" i="27"/>
  <c r="M41" i="27"/>
  <c r="M42" i="27"/>
  <c r="Q35" i="27"/>
  <c r="I35" i="27"/>
  <c r="T35" i="27"/>
  <c r="P35" i="27"/>
  <c r="R35" i="27" s="1"/>
  <c r="O35" i="27"/>
  <c r="O36" i="27"/>
  <c r="O37" i="27"/>
  <c r="O38" i="27"/>
  <c r="N35" i="27"/>
  <c r="N36" i="27"/>
  <c r="N37" i="27"/>
  <c r="N38" i="27"/>
  <c r="M35" i="27"/>
  <c r="M36" i="27"/>
  <c r="M37" i="27"/>
  <c r="M38" i="27"/>
  <c r="Q31" i="27"/>
  <c r="P31" i="27"/>
  <c r="O31" i="27"/>
  <c r="O32" i="27"/>
  <c r="O33" i="27"/>
  <c r="O34" i="27"/>
  <c r="N31" i="27"/>
  <c r="N32" i="27"/>
  <c r="N33" i="27"/>
  <c r="N34" i="27"/>
  <c r="M31" i="27"/>
  <c r="M32" i="27"/>
  <c r="M33" i="27"/>
  <c r="M34" i="27"/>
  <c r="Q27" i="27"/>
  <c r="T27" i="27" s="1"/>
  <c r="I27" i="27"/>
  <c r="P27" i="27"/>
  <c r="S27" i="27" s="1"/>
  <c r="R27" i="27"/>
  <c r="O27" i="27"/>
  <c r="O28" i="27"/>
  <c r="O29" i="27"/>
  <c r="O30" i="27"/>
  <c r="N27" i="27"/>
  <c r="N28" i="27"/>
  <c r="N29" i="27"/>
  <c r="N30" i="27"/>
  <c r="M27" i="27"/>
  <c r="M28" i="27"/>
  <c r="M29" i="27"/>
  <c r="M30" i="27"/>
  <c r="Q23" i="27"/>
  <c r="T23" i="27" s="1"/>
  <c r="I23" i="27"/>
  <c r="P23" i="27"/>
  <c r="O23" i="27"/>
  <c r="O24" i="27"/>
  <c r="O25" i="27"/>
  <c r="O26" i="27"/>
  <c r="N23" i="27"/>
  <c r="N24" i="27"/>
  <c r="N25" i="27"/>
  <c r="N26" i="27"/>
  <c r="M23" i="27"/>
  <c r="M24" i="27"/>
  <c r="M25" i="27"/>
  <c r="M26" i="27"/>
  <c r="Q19" i="27"/>
  <c r="T19" i="27" s="1"/>
  <c r="P19" i="27"/>
  <c r="H19" i="27"/>
  <c r="O19" i="27"/>
  <c r="O20" i="27"/>
  <c r="O21" i="27"/>
  <c r="O22" i="27"/>
  <c r="N19" i="27"/>
  <c r="N20" i="27"/>
  <c r="N21" i="27"/>
  <c r="N22" i="27"/>
  <c r="M19" i="27"/>
  <c r="M20" i="27"/>
  <c r="M21" i="27"/>
  <c r="M22" i="27"/>
  <c r="Q15" i="27"/>
  <c r="T15" i="27" s="1"/>
  <c r="P15" i="27"/>
  <c r="R15" i="27" s="1"/>
  <c r="O15" i="27"/>
  <c r="O16" i="27"/>
  <c r="O17" i="27"/>
  <c r="O18" i="27"/>
  <c r="N15" i="27"/>
  <c r="N16" i="27"/>
  <c r="N17" i="27"/>
  <c r="N18" i="27"/>
  <c r="M15" i="27"/>
  <c r="M16" i="27"/>
  <c r="M17" i="27"/>
  <c r="M18" i="27"/>
  <c r="Q11" i="27"/>
  <c r="T11" i="27" s="1"/>
  <c r="P11" i="27"/>
  <c r="S11" i="27" s="1"/>
  <c r="H11" i="27"/>
  <c r="O11" i="27"/>
  <c r="O12" i="27"/>
  <c r="O13" i="27"/>
  <c r="O14" i="27"/>
  <c r="N11" i="27"/>
  <c r="N12" i="27"/>
  <c r="N13" i="27"/>
  <c r="N14" i="27"/>
  <c r="M11" i="27"/>
  <c r="M12" i="27"/>
  <c r="M13" i="27"/>
  <c r="M14" i="27"/>
  <c r="Q7" i="27"/>
  <c r="T7" i="27" s="1"/>
  <c r="I7" i="27"/>
  <c r="P7" i="27"/>
  <c r="S7" i="27" s="1"/>
  <c r="R7" i="27"/>
  <c r="O7" i="27"/>
  <c r="O8" i="27"/>
  <c r="O9" i="27"/>
  <c r="O10" i="27"/>
  <c r="N7" i="27"/>
  <c r="N8" i="27"/>
  <c r="N9" i="27"/>
  <c r="N10" i="27"/>
  <c r="M7" i="27"/>
  <c r="M8" i="27"/>
  <c r="M9" i="27"/>
  <c r="M10" i="27"/>
  <c r="C3" i="30"/>
  <c r="J3" i="30"/>
  <c r="J31" i="30"/>
  <c r="C31" i="30"/>
  <c r="J47" i="25"/>
  <c r="J52" i="25"/>
  <c r="J9" i="20"/>
  <c r="J10" i="20"/>
  <c r="J18" i="20"/>
  <c r="J41" i="20"/>
  <c r="J57" i="2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Q58" i="27"/>
  <c r="T58" i="27" s="1"/>
  <c r="I58" i="27"/>
  <c r="P58" i="27"/>
  <c r="S58" i="27" s="1"/>
  <c r="H58" i="27"/>
  <c r="J58" i="27"/>
  <c r="L58" i="27"/>
  <c r="G58" i="27"/>
  <c r="F58" i="27"/>
  <c r="E58" i="27"/>
  <c r="D58" i="27"/>
  <c r="Q57" i="27"/>
  <c r="T57" i="27" s="1"/>
  <c r="P57" i="27"/>
  <c r="S57" i="27" s="1"/>
  <c r="R57" i="27"/>
  <c r="I57" i="27"/>
  <c r="H57" i="27"/>
  <c r="J57" i="27"/>
  <c r="L57" i="27"/>
  <c r="G57" i="27"/>
  <c r="F57" i="27"/>
  <c r="E57" i="27"/>
  <c r="D57" i="27"/>
  <c r="Q56" i="27"/>
  <c r="T56" i="27" s="1"/>
  <c r="I56" i="27"/>
  <c r="P56" i="27"/>
  <c r="H56" i="27"/>
  <c r="J56" i="27"/>
  <c r="L56" i="27"/>
  <c r="G56" i="27"/>
  <c r="F56" i="27"/>
  <c r="E56" i="27"/>
  <c r="D56" i="27"/>
  <c r="L55" i="27"/>
  <c r="D55" i="27"/>
  <c r="G55" i="27"/>
  <c r="F55" i="27"/>
  <c r="E55" i="27"/>
  <c r="I55" i="27"/>
  <c r="H55" i="27"/>
  <c r="Q54" i="27"/>
  <c r="T54" i="27" s="1"/>
  <c r="I54" i="27"/>
  <c r="P54" i="27"/>
  <c r="H54" i="27"/>
  <c r="J54" i="27"/>
  <c r="L54" i="27"/>
  <c r="G54" i="27"/>
  <c r="F54" i="27"/>
  <c r="E54" i="27"/>
  <c r="D54" i="27"/>
  <c r="Q53" i="27"/>
  <c r="T53" i="27" s="1"/>
  <c r="I53" i="27"/>
  <c r="P53" i="27"/>
  <c r="R53" i="27" s="1"/>
  <c r="H53" i="27"/>
  <c r="J53" i="27"/>
  <c r="L53" i="27"/>
  <c r="G53" i="27"/>
  <c r="F53" i="27"/>
  <c r="E53" i="27"/>
  <c r="D53" i="27"/>
  <c r="Q52" i="27"/>
  <c r="T52" i="27" s="1"/>
  <c r="P52" i="27"/>
  <c r="I52" i="27"/>
  <c r="H52" i="27"/>
  <c r="J52" i="27"/>
  <c r="H51" i="27"/>
  <c r="J51" i="27"/>
  <c r="J55" i="27"/>
  <c r="J78" i="27"/>
  <c r="L52" i="27"/>
  <c r="G52" i="27"/>
  <c r="F52" i="27"/>
  <c r="E52" i="27"/>
  <c r="D52" i="27"/>
  <c r="L51" i="27"/>
  <c r="D51" i="27"/>
  <c r="G51" i="27"/>
  <c r="F51" i="27"/>
  <c r="E51" i="27"/>
  <c r="I51" i="27"/>
  <c r="Q50" i="27"/>
  <c r="T50" i="27" s="1"/>
  <c r="I50" i="27"/>
  <c r="P50" i="27"/>
  <c r="R50" i="27" s="1"/>
  <c r="H50" i="27"/>
  <c r="J50" i="27"/>
  <c r="L50" i="27"/>
  <c r="G50" i="27"/>
  <c r="F50" i="27"/>
  <c r="E50" i="27"/>
  <c r="D50" i="27"/>
  <c r="Q49" i="27"/>
  <c r="T49" i="27" s="1"/>
  <c r="I49" i="27"/>
  <c r="P49" i="27"/>
  <c r="S49" i="27" s="1"/>
  <c r="R49" i="27"/>
  <c r="H49" i="27"/>
  <c r="J49" i="27"/>
  <c r="L49" i="27"/>
  <c r="G49" i="27"/>
  <c r="F49" i="27"/>
  <c r="E49" i="27"/>
  <c r="D49" i="27"/>
  <c r="Q48" i="27"/>
  <c r="T48" i="27" s="1"/>
  <c r="P48" i="27"/>
  <c r="S48" i="27" s="1"/>
  <c r="I48" i="27"/>
  <c r="H48" i="27"/>
  <c r="L48" i="27"/>
  <c r="G48" i="27"/>
  <c r="F48" i="27"/>
  <c r="E48" i="27"/>
  <c r="D48" i="27"/>
  <c r="L47" i="27"/>
  <c r="D47" i="27"/>
  <c r="G47" i="27"/>
  <c r="F47" i="27"/>
  <c r="E47" i="27"/>
  <c r="H47" i="27"/>
  <c r="J47" i="27"/>
  <c r="Q46" i="27"/>
  <c r="T46" i="27" s="1"/>
  <c r="I46" i="27"/>
  <c r="P46" i="27"/>
  <c r="H46" i="27"/>
  <c r="J46" i="27"/>
  <c r="L46" i="27"/>
  <c r="G46" i="27"/>
  <c r="F46" i="27"/>
  <c r="E46" i="27"/>
  <c r="D46" i="27"/>
  <c r="Q45" i="27"/>
  <c r="T45" i="27" s="1"/>
  <c r="I45" i="27"/>
  <c r="P45" i="27"/>
  <c r="R45" i="27"/>
  <c r="H45" i="27"/>
  <c r="J45" i="27"/>
  <c r="L45" i="27"/>
  <c r="G45" i="27"/>
  <c r="F45" i="27"/>
  <c r="E45" i="27"/>
  <c r="D45" i="27"/>
  <c r="Q44" i="27"/>
  <c r="I44" i="27"/>
  <c r="T44" i="27"/>
  <c r="P44" i="27"/>
  <c r="H44" i="27"/>
  <c r="J44" i="27"/>
  <c r="L44" i="27"/>
  <c r="G44" i="27"/>
  <c r="F44" i="27"/>
  <c r="E44" i="27"/>
  <c r="D44" i="27"/>
  <c r="L43" i="27"/>
  <c r="D43" i="27"/>
  <c r="G43" i="27"/>
  <c r="F43" i="27"/>
  <c r="E43" i="27"/>
  <c r="H43" i="27"/>
  <c r="J43" i="27"/>
  <c r="Q42" i="27"/>
  <c r="T42" i="27" s="1"/>
  <c r="P42" i="27"/>
  <c r="R42" i="27" s="1"/>
  <c r="I42" i="27"/>
  <c r="H42" i="27"/>
  <c r="J42" i="27"/>
  <c r="L42" i="27"/>
  <c r="G42" i="27"/>
  <c r="F42" i="27"/>
  <c r="E42" i="27"/>
  <c r="D42" i="27"/>
  <c r="Q41" i="27"/>
  <c r="T41" i="27" s="1"/>
  <c r="I41" i="27"/>
  <c r="P41" i="27"/>
  <c r="S41" i="27" s="1"/>
  <c r="H41" i="27"/>
  <c r="J41" i="27"/>
  <c r="L41" i="27"/>
  <c r="G41" i="27"/>
  <c r="F41" i="27"/>
  <c r="E41" i="27"/>
  <c r="D41" i="27"/>
  <c r="Q40" i="27"/>
  <c r="I40" i="27"/>
  <c r="T40" i="27"/>
  <c r="P40" i="27"/>
  <c r="H40" i="27"/>
  <c r="J40" i="27"/>
  <c r="L40" i="27"/>
  <c r="G40" i="27"/>
  <c r="F40" i="27"/>
  <c r="E40" i="27"/>
  <c r="D40" i="27"/>
  <c r="L39" i="27"/>
  <c r="D39" i="27"/>
  <c r="G39" i="27"/>
  <c r="F39" i="27"/>
  <c r="E39" i="27"/>
  <c r="H39" i="27"/>
  <c r="J39" i="27"/>
  <c r="Q38" i="27"/>
  <c r="T38" i="27" s="1"/>
  <c r="P38" i="27"/>
  <c r="S38" i="27" s="1"/>
  <c r="R38" i="27"/>
  <c r="I38" i="27"/>
  <c r="H38" i="27"/>
  <c r="J38" i="27"/>
  <c r="L38" i="27"/>
  <c r="G38" i="27"/>
  <c r="F38" i="27"/>
  <c r="E38" i="27"/>
  <c r="D38" i="27"/>
  <c r="Q37" i="27"/>
  <c r="T37" i="27" s="1"/>
  <c r="I37" i="27"/>
  <c r="P37" i="27"/>
  <c r="S37" i="27" s="1"/>
  <c r="H37" i="27"/>
  <c r="J37" i="27"/>
  <c r="L37" i="27"/>
  <c r="G37" i="27"/>
  <c r="F37" i="27"/>
  <c r="E37" i="27"/>
  <c r="D37" i="27"/>
  <c r="Q36" i="27"/>
  <c r="P36" i="27"/>
  <c r="H36" i="27"/>
  <c r="I36" i="27"/>
  <c r="J36" i="27"/>
  <c r="L36" i="27"/>
  <c r="G36" i="27"/>
  <c r="F36" i="27"/>
  <c r="E36" i="27"/>
  <c r="D36" i="27"/>
  <c r="L35" i="27"/>
  <c r="D35" i="27"/>
  <c r="G35" i="27"/>
  <c r="F35" i="27"/>
  <c r="E35" i="27"/>
  <c r="H35" i="27"/>
  <c r="J35" i="27"/>
  <c r="Q34" i="27"/>
  <c r="I34" i="27"/>
  <c r="T34" i="27"/>
  <c r="P34" i="27"/>
  <c r="S34" i="27" s="1"/>
  <c r="R34" i="27"/>
  <c r="H34" i="27"/>
  <c r="J34" i="27"/>
  <c r="L34" i="27"/>
  <c r="G34" i="27"/>
  <c r="F34" i="27"/>
  <c r="E34" i="27"/>
  <c r="D34" i="27"/>
  <c r="Q33" i="27"/>
  <c r="T33" i="27" s="1"/>
  <c r="I33" i="27"/>
  <c r="P33" i="27"/>
  <c r="H33" i="27"/>
  <c r="L33" i="27"/>
  <c r="G33" i="27"/>
  <c r="F33" i="27"/>
  <c r="E33" i="27"/>
  <c r="D33" i="27"/>
  <c r="Q32" i="27"/>
  <c r="T32" i="27" s="1"/>
  <c r="I32" i="27"/>
  <c r="P32" i="27"/>
  <c r="R32" i="27" s="1"/>
  <c r="H32" i="27"/>
  <c r="J32" i="27"/>
  <c r="L32" i="27"/>
  <c r="G32" i="27"/>
  <c r="F32" i="27"/>
  <c r="E32" i="27"/>
  <c r="D32" i="27"/>
  <c r="L31" i="27"/>
  <c r="D31" i="27"/>
  <c r="G31" i="27"/>
  <c r="F31" i="27"/>
  <c r="E31" i="27"/>
  <c r="I31" i="27"/>
  <c r="H31" i="27"/>
  <c r="Q30" i="27"/>
  <c r="I30" i="27"/>
  <c r="T30" i="27"/>
  <c r="P30" i="27"/>
  <c r="R30" i="27"/>
  <c r="H30" i="27"/>
  <c r="J30" i="27"/>
  <c r="L30" i="27"/>
  <c r="G30" i="27"/>
  <c r="F30" i="27"/>
  <c r="E30" i="27"/>
  <c r="D30" i="27"/>
  <c r="Q29" i="27"/>
  <c r="T29" i="27" s="1"/>
  <c r="I29" i="27"/>
  <c r="P29" i="27"/>
  <c r="S29" i="27" s="1"/>
  <c r="R29" i="27"/>
  <c r="H29" i="27"/>
  <c r="L29" i="27"/>
  <c r="G29" i="27"/>
  <c r="F29" i="27"/>
  <c r="E29" i="27"/>
  <c r="D29" i="27"/>
  <c r="Q28" i="27"/>
  <c r="T28" i="27" s="1"/>
  <c r="P28" i="27"/>
  <c r="I28" i="27"/>
  <c r="H28" i="27"/>
  <c r="J28" i="27"/>
  <c r="L28" i="27"/>
  <c r="G28" i="27"/>
  <c r="F28" i="27"/>
  <c r="E28" i="27"/>
  <c r="D28" i="27"/>
  <c r="L27" i="27"/>
  <c r="D27" i="27"/>
  <c r="G27" i="27"/>
  <c r="F27" i="27"/>
  <c r="E27" i="27"/>
  <c r="H27" i="27"/>
  <c r="J27" i="27"/>
  <c r="Q26" i="27"/>
  <c r="T26" i="27" s="1"/>
  <c r="P26" i="27"/>
  <c r="H26" i="27"/>
  <c r="I26" i="27"/>
  <c r="J26" i="27"/>
  <c r="L26" i="27"/>
  <c r="G26" i="27"/>
  <c r="F26" i="27"/>
  <c r="E26" i="27"/>
  <c r="D26" i="27"/>
  <c r="Q25" i="27"/>
  <c r="I25" i="27"/>
  <c r="T25" i="27"/>
  <c r="P25" i="27"/>
  <c r="R25" i="27" s="1"/>
  <c r="H25" i="27"/>
  <c r="J25" i="27"/>
  <c r="L25" i="27"/>
  <c r="G25" i="27"/>
  <c r="F25" i="27"/>
  <c r="E25" i="27"/>
  <c r="D25" i="27"/>
  <c r="Q24" i="27"/>
  <c r="T24" i="27" s="1"/>
  <c r="I24" i="27"/>
  <c r="P24" i="27"/>
  <c r="H24" i="27"/>
  <c r="J24" i="27"/>
  <c r="L24" i="27"/>
  <c r="G24" i="27"/>
  <c r="F24" i="27"/>
  <c r="E24" i="27"/>
  <c r="D24" i="27"/>
  <c r="L23" i="27"/>
  <c r="D23" i="27"/>
  <c r="G23" i="27"/>
  <c r="F23" i="27"/>
  <c r="E23" i="27"/>
  <c r="H23" i="27"/>
  <c r="J23" i="27"/>
  <c r="Q22" i="27"/>
  <c r="T22" i="27" s="1"/>
  <c r="P22" i="27"/>
  <c r="R22" i="27" s="1"/>
  <c r="I22" i="27"/>
  <c r="I19" i="27"/>
  <c r="I20" i="27"/>
  <c r="I21" i="27"/>
  <c r="I76" i="27"/>
  <c r="H22" i="27"/>
  <c r="J22" i="27"/>
  <c r="L22" i="27"/>
  <c r="G22" i="27"/>
  <c r="F22" i="27"/>
  <c r="E22" i="27"/>
  <c r="D22" i="27"/>
  <c r="Q21" i="27"/>
  <c r="T21" i="27"/>
  <c r="P21" i="27"/>
  <c r="S21" i="27" s="1"/>
  <c r="H21" i="27"/>
  <c r="J21" i="27"/>
  <c r="L21" i="27"/>
  <c r="G21" i="27"/>
  <c r="F21" i="27"/>
  <c r="E21" i="27"/>
  <c r="D21" i="27"/>
  <c r="Q20" i="27"/>
  <c r="T20" i="27" s="1"/>
  <c r="P20" i="27"/>
  <c r="S20" i="27" s="1"/>
  <c r="R20" i="27"/>
  <c r="H20" i="27"/>
  <c r="J20" i="27"/>
  <c r="L20" i="27"/>
  <c r="G20" i="27"/>
  <c r="F20" i="27"/>
  <c r="E20" i="27"/>
  <c r="D20" i="27"/>
  <c r="L19" i="27"/>
  <c r="D19" i="27"/>
  <c r="G19" i="27"/>
  <c r="F19" i="27"/>
  <c r="E19" i="27"/>
  <c r="J19" i="27"/>
  <c r="Q18" i="27"/>
  <c r="I18" i="27"/>
  <c r="T18" i="27"/>
  <c r="P18" i="27"/>
  <c r="S18" i="27" s="1"/>
  <c r="H18" i="27"/>
  <c r="J18" i="27"/>
  <c r="L18" i="27"/>
  <c r="G18" i="27"/>
  <c r="F18" i="27"/>
  <c r="E18" i="27"/>
  <c r="D18" i="27"/>
  <c r="Q17" i="27"/>
  <c r="T17" i="27" s="1"/>
  <c r="I17" i="27"/>
  <c r="P17" i="27"/>
  <c r="S17" i="27" s="1"/>
  <c r="H17" i="27"/>
  <c r="J17" i="27"/>
  <c r="L17" i="27"/>
  <c r="G17" i="27"/>
  <c r="F17" i="27"/>
  <c r="E17" i="27"/>
  <c r="D17" i="27"/>
  <c r="Q16" i="27"/>
  <c r="T16" i="27" s="1"/>
  <c r="I16" i="27"/>
  <c r="P16" i="27"/>
  <c r="S16" i="27" s="1"/>
  <c r="H16" i="27"/>
  <c r="J16" i="27"/>
  <c r="L16" i="27"/>
  <c r="G16" i="27"/>
  <c r="F16" i="27"/>
  <c r="E16" i="27"/>
  <c r="D16" i="27"/>
  <c r="L15" i="27"/>
  <c r="D15" i="27"/>
  <c r="G15" i="27"/>
  <c r="F15" i="27"/>
  <c r="E15" i="27"/>
  <c r="I15" i="27"/>
  <c r="H15" i="27"/>
  <c r="J15" i="27"/>
  <c r="D3" i="27"/>
  <c r="E3" i="27"/>
  <c r="F3" i="27"/>
  <c r="G3" i="27"/>
  <c r="J3" i="27"/>
  <c r="L3" i="27"/>
  <c r="L6" i="27"/>
  <c r="L5" i="27"/>
  <c r="L4" i="27"/>
  <c r="L10" i="27"/>
  <c r="L9" i="27"/>
  <c r="L8" i="27"/>
  <c r="L7" i="27"/>
  <c r="L14" i="27"/>
  <c r="L13" i="27"/>
  <c r="L12" i="27"/>
  <c r="L11" i="27"/>
  <c r="Q4" i="27"/>
  <c r="T4" i="27" s="1"/>
  <c r="Q5" i="27"/>
  <c r="T5" i="27" s="1"/>
  <c r="Q6" i="27"/>
  <c r="T6" i="27" s="1"/>
  <c r="Q8" i="27"/>
  <c r="T8" i="27" s="1"/>
  <c r="Q9" i="27"/>
  <c r="T9" i="27" s="1"/>
  <c r="Q10" i="27"/>
  <c r="I10" i="27"/>
  <c r="T10" i="27"/>
  <c r="Q12" i="27"/>
  <c r="T12" i="27" s="1"/>
  <c r="Q13" i="27"/>
  <c r="T13" i="27" s="1"/>
  <c r="I13" i="27"/>
  <c r="Q14" i="27"/>
  <c r="P4" i="27"/>
  <c r="S4" i="27" s="1"/>
  <c r="H4" i="27"/>
  <c r="P5" i="27"/>
  <c r="S5" i="27" s="1"/>
  <c r="R5" i="27"/>
  <c r="P6" i="27"/>
  <c r="R6" i="27" s="1"/>
  <c r="P8" i="27"/>
  <c r="R8" i="27" s="1"/>
  <c r="P9" i="27"/>
  <c r="R9" i="27" s="1"/>
  <c r="P10" i="27"/>
  <c r="R10" i="27" s="1"/>
  <c r="P12" i="27"/>
  <c r="P13" i="27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J4" i="27"/>
  <c r="H5" i="27"/>
  <c r="J5" i="27"/>
  <c r="H6" i="27"/>
  <c r="J6" i="27"/>
  <c r="H7" i="27"/>
  <c r="H8" i="27"/>
  <c r="J8" i="27"/>
  <c r="H9" i="27"/>
  <c r="J9" i="27"/>
  <c r="H10" i="27"/>
  <c r="J11" i="27"/>
  <c r="H12" i="27"/>
  <c r="J12" i="27"/>
  <c r="H13" i="27"/>
  <c r="J13" i="27"/>
  <c r="H14" i="27"/>
  <c r="J14" i="27"/>
  <c r="I4" i="27"/>
  <c r="I5" i="27"/>
  <c r="I6" i="27"/>
  <c r="I8" i="27"/>
  <c r="I9" i="27"/>
  <c r="I11" i="27"/>
  <c r="I12" i="27"/>
  <c r="I14" i="27"/>
  <c r="I80" i="27"/>
  <c r="I75" i="27"/>
  <c r="C33" i="9"/>
  <c r="C23" i="9"/>
  <c r="AC3" i="10"/>
  <c r="AC4" i="10"/>
  <c r="AC5" i="10"/>
  <c r="AC6" i="10"/>
  <c r="AD8" i="10"/>
  <c r="J53" i="20"/>
  <c r="J44" i="25"/>
  <c r="J33" i="27"/>
  <c r="J20" i="25"/>
  <c r="J12" i="25"/>
  <c r="J32" i="25"/>
  <c r="J24" i="25"/>
  <c r="J16" i="25"/>
  <c r="J40" i="25"/>
  <c r="J8" i="25"/>
  <c r="J36" i="25"/>
  <c r="J50" i="20"/>
  <c r="J45" i="20"/>
  <c r="J48" i="25"/>
  <c r="T73" i="29"/>
  <c r="J16" i="20"/>
  <c r="J3" i="29"/>
  <c r="J49" i="25"/>
  <c r="J25" i="25"/>
  <c r="J63" i="20"/>
  <c r="J37" i="25"/>
  <c r="J21" i="25"/>
  <c r="I81" i="20"/>
  <c r="S44" i="25"/>
  <c r="J37" i="20"/>
  <c r="J30" i="25"/>
  <c r="J13" i="20"/>
  <c r="T14" i="27"/>
  <c r="J59" i="25"/>
  <c r="J52" i="20"/>
  <c r="J66" i="29"/>
  <c r="J29" i="27"/>
  <c r="J7" i="27"/>
  <c r="S62" i="29"/>
  <c r="S47" i="25"/>
  <c r="J58" i="25"/>
  <c r="J58" i="20"/>
  <c r="J7" i="20"/>
  <c r="J54" i="25"/>
  <c r="J15" i="20"/>
  <c r="J55" i="20"/>
  <c r="J78" i="20"/>
  <c r="J42" i="20"/>
  <c r="J3" i="25"/>
  <c r="J47" i="20"/>
  <c r="R19" i="20"/>
  <c r="S27" i="25"/>
  <c r="S30" i="27"/>
  <c r="R26" i="25"/>
  <c r="S50" i="27"/>
  <c r="S53" i="25"/>
  <c r="S35" i="27"/>
  <c r="R57" i="25"/>
  <c r="I79" i="29"/>
  <c r="T54" i="29"/>
  <c r="S9" i="29"/>
  <c r="T57" i="29"/>
  <c r="I81" i="29"/>
  <c r="I78" i="29"/>
  <c r="J48" i="29"/>
  <c r="J45" i="29"/>
  <c r="T12" i="25"/>
  <c r="R56" i="25"/>
  <c r="T57" i="25"/>
  <c r="S22" i="25"/>
  <c r="S31" i="29"/>
  <c r="M12" i="30" s="1"/>
  <c r="S7" i="20"/>
  <c r="S10" i="25"/>
  <c r="S45" i="27"/>
  <c r="S50" i="29"/>
  <c r="J75" i="20"/>
  <c r="J81" i="20"/>
  <c r="J80" i="20"/>
  <c r="J78" i="29"/>
  <c r="J77" i="20"/>
  <c r="J77" i="25"/>
  <c r="J78" i="25"/>
  <c r="J26" i="29"/>
  <c r="J31" i="29"/>
  <c r="J42" i="29"/>
  <c r="J81" i="29"/>
  <c r="J75" i="29"/>
  <c r="J22" i="25"/>
  <c r="J33" i="25"/>
  <c r="J76" i="25"/>
  <c r="T20" i="20"/>
  <c r="I80" i="29"/>
  <c r="J31" i="27"/>
  <c r="J76" i="27"/>
  <c r="I81" i="27"/>
  <c r="I75" i="25"/>
  <c r="T31" i="27"/>
  <c r="T59" i="29"/>
  <c r="T79" i="29" s="1"/>
  <c r="N28" i="30" s="1"/>
  <c r="I78" i="25"/>
  <c r="J10" i="27"/>
  <c r="J48" i="27"/>
  <c r="J81" i="27"/>
  <c r="J77" i="27"/>
  <c r="J10" i="25"/>
  <c r="J77" i="29"/>
  <c r="J76" i="29"/>
  <c r="J61" i="29"/>
  <c r="J79" i="29"/>
  <c r="J4" i="25"/>
  <c r="I80" i="25"/>
  <c r="I77" i="25"/>
  <c r="T34" i="25"/>
  <c r="M7" i="30"/>
  <c r="T39" i="20"/>
  <c r="T6" i="20"/>
  <c r="I77" i="27"/>
  <c r="S28" i="25"/>
  <c r="S23" i="20"/>
  <c r="S6" i="20"/>
  <c r="I78" i="27"/>
  <c r="T29" i="20"/>
  <c r="T32" i="25"/>
  <c r="R25" i="29"/>
  <c r="T36" i="27"/>
  <c r="S47" i="20"/>
  <c r="Q78" i="27"/>
  <c r="S29" i="25"/>
  <c r="R6" i="20"/>
  <c r="J66" i="20"/>
  <c r="S37" i="20"/>
  <c r="R23" i="20"/>
  <c r="S32" i="27"/>
  <c r="R29" i="20"/>
  <c r="R15" i="20"/>
  <c r="J80" i="29"/>
  <c r="M14" i="30"/>
  <c r="J81" i="25"/>
  <c r="J75" i="25"/>
  <c r="J80" i="25"/>
  <c r="J75" i="27"/>
  <c r="J80" i="27"/>
  <c r="N19" i="30"/>
  <c r="Y59" i="29"/>
  <c r="X47" i="20"/>
  <c r="Z19" i="25"/>
  <c r="X31" i="27"/>
  <c r="Y39" i="25"/>
  <c r="V19" i="25"/>
  <c r="Z27" i="25"/>
  <c r="Z47" i="27"/>
  <c r="X51" i="25"/>
  <c r="V55" i="25"/>
  <c r="Y67" i="29"/>
  <c r="Y31" i="20"/>
  <c r="Z67" i="29"/>
  <c r="X3" i="27"/>
  <c r="Y39" i="27"/>
  <c r="W35" i="27"/>
  <c r="X23" i="27"/>
  <c r="AA7" i="27"/>
  <c r="X19" i="29"/>
  <c r="Z11" i="20"/>
  <c r="AA23" i="25"/>
  <c r="AA39" i="25"/>
  <c r="X35" i="27"/>
  <c r="W47" i="27"/>
  <c r="AA43" i="25"/>
  <c r="V55" i="29"/>
  <c r="Z19" i="29"/>
  <c r="Z39" i="25"/>
  <c r="Y19" i="27"/>
  <c r="V23" i="25"/>
  <c r="X15" i="29"/>
  <c r="W31" i="29"/>
  <c r="W39" i="27"/>
  <c r="V11" i="25"/>
  <c r="Y19" i="29"/>
  <c r="Y7" i="29"/>
  <c r="X63" i="29"/>
  <c r="W51" i="29"/>
  <c r="X47" i="27"/>
  <c r="Y7" i="20"/>
  <c r="Y35" i="29"/>
  <c r="AA23" i="29"/>
  <c r="X51" i="27"/>
  <c r="AA11" i="29"/>
  <c r="Z51" i="20"/>
  <c r="W3" i="25"/>
  <c r="AA7" i="20"/>
  <c r="V47" i="29"/>
  <c r="W15" i="25"/>
  <c r="W7" i="27"/>
  <c r="AA51" i="20"/>
  <c r="X43" i="27"/>
  <c r="V27" i="20"/>
  <c r="V39" i="20"/>
  <c r="V43" i="20"/>
  <c r="X35" i="20"/>
  <c r="Z31" i="20"/>
  <c r="X7" i="25"/>
  <c r="Y23" i="27"/>
  <c r="V51" i="20"/>
  <c r="X3" i="25"/>
  <c r="Y51" i="20"/>
  <c r="Z55" i="25"/>
  <c r="V19" i="27"/>
  <c r="Z51" i="27"/>
  <c r="Z27" i="20"/>
  <c r="W11" i="20"/>
  <c r="AA23" i="27"/>
  <c r="Z27" i="27"/>
  <c r="Y35" i="25"/>
  <c r="X7" i="29"/>
  <c r="Z31" i="25"/>
  <c r="Y43" i="20"/>
  <c r="V27" i="25"/>
  <c r="V47" i="25"/>
  <c r="V35" i="25"/>
  <c r="X15" i="20"/>
  <c r="W51" i="25"/>
  <c r="X71" i="29"/>
  <c r="AA3" i="29"/>
  <c r="X47" i="29"/>
  <c r="Z31" i="27"/>
  <c r="X51" i="20"/>
  <c r="V23" i="27"/>
  <c r="AA59" i="29"/>
  <c r="V47" i="20"/>
  <c r="Z11" i="29"/>
  <c r="V15" i="25"/>
  <c r="AA47" i="25"/>
  <c r="V31" i="20"/>
  <c r="X39" i="29"/>
  <c r="Z15" i="27"/>
  <c r="V35" i="20"/>
  <c r="V19" i="20"/>
  <c r="V55" i="20"/>
  <c r="X19" i="25"/>
  <c r="V39" i="25"/>
  <c r="X7" i="20"/>
  <c r="X43" i="25"/>
  <c r="W11" i="25"/>
  <c r="W35" i="20"/>
  <c r="AA31" i="27"/>
  <c r="AA67" i="29"/>
  <c r="AA31" i="25"/>
  <c r="W67" i="29"/>
  <c r="Z11" i="27"/>
  <c r="V51" i="29"/>
  <c r="X47" i="25"/>
  <c r="Y31" i="27"/>
  <c r="X11" i="29"/>
  <c r="X39" i="25"/>
  <c r="AA39" i="27"/>
  <c r="AA47" i="27"/>
  <c r="W39" i="25"/>
  <c r="X11" i="27"/>
  <c r="W35" i="25"/>
  <c r="V63" i="29"/>
  <c r="AA19" i="29"/>
  <c r="Y27" i="20"/>
  <c r="Z35" i="20"/>
  <c r="AA7" i="25"/>
  <c r="AA39" i="29"/>
  <c r="V7" i="20"/>
  <c r="V43" i="27"/>
  <c r="Z63" i="29"/>
  <c r="Y3" i="20"/>
  <c r="Y23" i="29"/>
  <c r="X31" i="29"/>
  <c r="AA55" i="25"/>
  <c r="X31" i="25"/>
  <c r="AA43" i="27"/>
  <c r="Y55" i="20"/>
  <c r="V31" i="27"/>
  <c r="V27" i="29"/>
  <c r="AA43" i="29"/>
  <c r="Z43" i="25"/>
  <c r="W39" i="20"/>
  <c r="W15" i="20"/>
  <c r="AA19" i="25"/>
  <c r="Y55" i="27"/>
  <c r="AA51" i="29"/>
  <c r="V23" i="20"/>
  <c r="Z23" i="27"/>
  <c r="Y27" i="25"/>
  <c r="Y27" i="27"/>
  <c r="W23" i="27"/>
  <c r="W47" i="29"/>
  <c r="AA31" i="20"/>
  <c r="Y39" i="20"/>
  <c r="W43" i="25"/>
  <c r="Z39" i="27"/>
  <c r="AA11" i="20"/>
  <c r="W43" i="29"/>
  <c r="V71" i="29"/>
  <c r="Z55" i="20"/>
  <c r="X39" i="20"/>
  <c r="AA31" i="29"/>
  <c r="X55" i="25"/>
  <c r="V43" i="29"/>
  <c r="W19" i="20"/>
  <c r="Z3" i="25"/>
  <c r="V19" i="29"/>
  <c r="Y47" i="27"/>
  <c r="AA15" i="29"/>
  <c r="V31" i="29"/>
  <c r="W55" i="20"/>
  <c r="Z19" i="27"/>
  <c r="AA19" i="27"/>
  <c r="Y19" i="20"/>
  <c r="W11" i="27"/>
  <c r="AA15" i="25"/>
  <c r="W55" i="29"/>
  <c r="AA55" i="29"/>
  <c r="AA27" i="27"/>
  <c r="AA15" i="27"/>
  <c r="AA55" i="27"/>
  <c r="W63" i="29"/>
  <c r="Z3" i="20"/>
  <c r="V3" i="27"/>
  <c r="X19" i="20"/>
  <c r="X35" i="29"/>
  <c r="V35" i="27"/>
  <c r="Z35" i="27"/>
  <c r="AA39" i="20"/>
  <c r="W11" i="29"/>
  <c r="Y47" i="25"/>
  <c r="Z31" i="29"/>
  <c r="X31" i="20"/>
  <c r="AA51" i="27"/>
  <c r="V3" i="29"/>
  <c r="W3" i="29"/>
  <c r="W39" i="29"/>
  <c r="X23" i="29"/>
  <c r="Y15" i="27"/>
  <c r="X43" i="20"/>
  <c r="X27" i="27"/>
  <c r="X55" i="20"/>
  <c r="Y15" i="25"/>
  <c r="AA35" i="27"/>
  <c r="Z55" i="27"/>
  <c r="AA19" i="20"/>
  <c r="Y23" i="25"/>
  <c r="W7" i="25"/>
  <c r="Y63" i="29"/>
  <c r="AA35" i="29"/>
  <c r="V7" i="27"/>
  <c r="V39" i="29"/>
  <c r="Z15" i="25"/>
  <c r="Z59" i="29"/>
  <c r="W23" i="29"/>
  <c r="Y11" i="20"/>
  <c r="Z11" i="25"/>
  <c r="W7" i="20"/>
  <c r="AA27" i="29"/>
  <c r="V11" i="29"/>
  <c r="X51" i="29"/>
  <c r="W23" i="25"/>
  <c r="V11" i="20"/>
  <c r="Y31" i="29"/>
  <c r="W71" i="29"/>
  <c r="AA3" i="20"/>
  <c r="V11" i="27"/>
  <c r="Y47" i="29"/>
  <c r="Y11" i="29"/>
  <c r="W55" i="25"/>
  <c r="W7" i="29"/>
  <c r="Z3" i="27"/>
  <c r="Y27" i="29"/>
  <c r="Z39" i="29"/>
  <c r="Z3" i="29"/>
  <c r="W27" i="25"/>
  <c r="W43" i="27"/>
  <c r="V43" i="25"/>
  <c r="Z71" i="29"/>
  <c r="W35" i="29"/>
  <c r="Y43" i="29"/>
  <c r="Z7" i="27"/>
  <c r="Y47" i="20"/>
  <c r="Z51" i="29"/>
  <c r="W19" i="27"/>
  <c r="AA15" i="20"/>
  <c r="Z19" i="20"/>
  <c r="Z23" i="20"/>
  <c r="W15" i="27"/>
  <c r="Y15" i="29"/>
  <c r="Y39" i="29"/>
  <c r="X39" i="27"/>
  <c r="W59" i="29"/>
  <c r="Y7" i="27"/>
  <c r="X55" i="29"/>
  <c r="Y7" i="25"/>
  <c r="Z51" i="25"/>
  <c r="X27" i="20"/>
  <c r="Y51" i="29"/>
  <c r="Y71" i="29"/>
  <c r="X55" i="27"/>
  <c r="Y3" i="29"/>
  <c r="W47" i="20"/>
  <c r="AA47" i="29"/>
  <c r="W31" i="25"/>
  <c r="AA27" i="25"/>
  <c r="W23" i="20"/>
  <c r="Z15" i="20"/>
  <c r="V55" i="27"/>
  <c r="Y35" i="27"/>
  <c r="W3" i="27"/>
  <c r="X11" i="25"/>
  <c r="Y43" i="25"/>
  <c r="AA35" i="25"/>
  <c r="AA27" i="20"/>
  <c r="Y51" i="25"/>
  <c r="W51" i="27"/>
  <c r="Z7" i="20"/>
  <c r="V51" i="27"/>
  <c r="Y3" i="25"/>
  <c r="X67" i="29"/>
  <c r="AA55" i="20"/>
  <c r="AA43" i="20"/>
  <c r="Y23" i="20"/>
  <c r="Y11" i="27"/>
  <c r="Y3" i="27"/>
  <c r="W27" i="29"/>
  <c r="AA51" i="25"/>
  <c r="W43" i="20"/>
  <c r="X11" i="20"/>
  <c r="V59" i="29"/>
  <c r="Z7" i="29"/>
  <c r="V51" i="25"/>
  <c r="X27" i="25"/>
  <c r="W31" i="20"/>
  <c r="X27" i="29"/>
  <c r="V15" i="27"/>
  <c r="Y35" i="20"/>
  <c r="W19" i="25"/>
  <c r="Y31" i="25"/>
  <c r="V39" i="27"/>
  <c r="Y15" i="20"/>
  <c r="AA63" i="29"/>
  <c r="V31" i="25"/>
  <c r="Z43" i="29"/>
  <c r="AA3" i="27"/>
  <c r="AA35" i="20"/>
  <c r="Z47" i="20"/>
  <c r="W55" i="27"/>
  <c r="X15" i="25"/>
  <c r="W27" i="27"/>
  <c r="W31" i="27"/>
  <c r="Z23" i="29"/>
  <c r="V35" i="29"/>
  <c r="AA11" i="27"/>
  <c r="Z39" i="20"/>
  <c r="W51" i="20"/>
  <c r="Y11" i="25"/>
  <c r="X15" i="27"/>
  <c r="V15" i="29"/>
  <c r="V7" i="29"/>
  <c r="Z35" i="25"/>
  <c r="V7" i="25"/>
  <c r="Z43" i="20"/>
  <c r="Y19" i="25"/>
  <c r="V3" i="25"/>
  <c r="Z55" i="29"/>
  <c r="W19" i="29"/>
  <c r="X3" i="29"/>
  <c r="V27" i="27"/>
  <c r="Y43" i="27"/>
  <c r="Z27" i="29"/>
  <c r="AA7" i="29"/>
  <c r="X23" i="25"/>
  <c r="AA23" i="20"/>
  <c r="W27" i="20"/>
  <c r="AA71" i="29"/>
  <c r="W3" i="20"/>
  <c r="Z47" i="29"/>
  <c r="V67" i="29"/>
  <c r="Z35" i="29"/>
  <c r="W47" i="25"/>
  <c r="X35" i="25"/>
  <c r="X23" i="20"/>
  <c r="Z7" i="25"/>
  <c r="Y55" i="25"/>
  <c r="V3" i="20"/>
  <c r="Y55" i="29"/>
  <c r="Z43" i="27"/>
  <c r="Z15" i="29"/>
  <c r="AA3" i="25"/>
  <c r="Y51" i="27"/>
  <c r="X43" i="29"/>
  <c r="X7" i="27"/>
  <c r="V15" i="20"/>
  <c r="V47" i="27"/>
  <c r="X3" i="20"/>
  <c r="Z47" i="25"/>
  <c r="Z23" i="25"/>
  <c r="AA47" i="20"/>
  <c r="X59" i="29"/>
  <c r="X19" i="27"/>
  <c r="W15" i="29"/>
  <c r="V23" i="29"/>
  <c r="AA11" i="25"/>
  <c r="W67" i="20"/>
  <c r="Z63" i="20"/>
  <c r="W63" i="20"/>
  <c r="AA71" i="20"/>
  <c r="X59" i="20"/>
  <c r="V71" i="20"/>
  <c r="X71" i="20"/>
  <c r="Y71" i="20"/>
  <c r="V59" i="20"/>
  <c r="W71" i="20"/>
  <c r="Z71" i="20"/>
  <c r="V67" i="20"/>
  <c r="AA67" i="20"/>
  <c r="Y63" i="20"/>
  <c r="X63" i="20"/>
  <c r="Y59" i="20"/>
  <c r="W59" i="20"/>
  <c r="X67" i="20"/>
  <c r="AA63" i="20"/>
  <c r="Z59" i="20"/>
  <c r="Z67" i="20"/>
  <c r="V63" i="20"/>
  <c r="AA59" i="20"/>
  <c r="Y67" i="20"/>
  <c r="AA63" i="27"/>
  <c r="AA71" i="27"/>
  <c r="W63" i="27"/>
  <c r="Y67" i="27"/>
  <c r="AA59" i="27"/>
  <c r="V59" i="27"/>
  <c r="V71" i="27"/>
  <c r="X59" i="27"/>
  <c r="Y63" i="27"/>
  <c r="X71" i="27"/>
  <c r="W59" i="27"/>
  <c r="Z63" i="27"/>
  <c r="Z59" i="27"/>
  <c r="V67" i="27"/>
  <c r="V63" i="27"/>
  <c r="Z71" i="27"/>
  <c r="X67" i="27"/>
  <c r="W71" i="27"/>
  <c r="Z67" i="27"/>
  <c r="AA67" i="27"/>
  <c r="W67" i="27"/>
  <c r="Y59" i="27"/>
  <c r="X63" i="27"/>
  <c r="Y71" i="27"/>
  <c r="W63" i="25"/>
  <c r="X59" i="25"/>
  <c r="V59" i="25"/>
  <c r="Y71" i="25"/>
  <c r="Z67" i="25"/>
  <c r="X63" i="25"/>
  <c r="AA59" i="25"/>
  <c r="Y63" i="25"/>
  <c r="V71" i="25"/>
  <c r="Y59" i="25"/>
  <c r="AA67" i="25"/>
  <c r="W67" i="25"/>
  <c r="X71" i="25"/>
  <c r="Y67" i="25"/>
  <c r="W71" i="25"/>
  <c r="Z63" i="25"/>
  <c r="Z71" i="25"/>
  <c r="AA71" i="25"/>
  <c r="V67" i="25"/>
  <c r="Z59" i="25"/>
  <c r="V63" i="25"/>
  <c r="AA63" i="25"/>
  <c r="W59" i="25"/>
  <c r="X67" i="25"/>
  <c r="AQ4" i="10"/>
  <c r="AK4" i="10"/>
  <c r="AO3" i="10"/>
  <c r="AG3" i="10"/>
  <c r="AG6" i="10"/>
  <c r="AE5" i="10"/>
  <c r="AQ6" i="10"/>
  <c r="AI5" i="10"/>
  <c r="AN6" i="10"/>
  <c r="AO5" i="10"/>
  <c r="AD3" i="10"/>
  <c r="AP5" i="10"/>
  <c r="AL6" i="10"/>
  <c r="AF3" i="10"/>
  <c r="AQ5" i="10"/>
  <c r="AE4" i="10"/>
  <c r="AF4" i="10"/>
  <c r="AP6" i="10"/>
  <c r="AP4" i="10"/>
  <c r="AN3" i="10"/>
  <c r="AF6" i="10"/>
  <c r="AJ3" i="10"/>
  <c r="AJ5" i="10"/>
  <c r="AN4" i="10"/>
  <c r="AI4" i="10"/>
  <c r="AI3" i="10"/>
  <c r="AJ4" i="10"/>
  <c r="AL5" i="10"/>
  <c r="AN5" i="10"/>
  <c r="AO4" i="10"/>
  <c r="AD5" i="10"/>
  <c r="AF5" i="10"/>
  <c r="AL4" i="10"/>
  <c r="AE3" i="10"/>
  <c r="AJ6" i="10"/>
  <c r="AD4" i="10"/>
  <c r="AG4" i="10"/>
  <c r="AO6" i="10"/>
  <c r="AL3" i="10"/>
  <c r="AK6" i="10"/>
  <c r="AD6" i="10"/>
  <c r="AK3" i="10"/>
  <c r="AQ3" i="10"/>
  <c r="AK5" i="10"/>
  <c r="AE6" i="10"/>
  <c r="AP3" i="10"/>
  <c r="AI6" i="10"/>
  <c r="AG5" i="10"/>
  <c r="N36" i="30" l="1"/>
  <c r="S14" i="29"/>
  <c r="S53" i="20"/>
  <c r="S14" i="25"/>
  <c r="S52" i="29"/>
  <c r="G34" i="30"/>
  <c r="S10" i="20"/>
  <c r="R5" i="29"/>
  <c r="S42" i="29"/>
  <c r="S24" i="29"/>
  <c r="S6" i="25"/>
  <c r="G45" i="30"/>
  <c r="S53" i="27"/>
  <c r="S6" i="27"/>
  <c r="F5" i="30" s="1"/>
  <c r="S55" i="27"/>
  <c r="F18" i="30" s="1"/>
  <c r="R29" i="29"/>
  <c r="R3" i="20"/>
  <c r="R63" i="29"/>
  <c r="S14" i="27"/>
  <c r="S47" i="27"/>
  <c r="F16" i="30" s="1"/>
  <c r="S51" i="20"/>
  <c r="F45" i="30" s="1"/>
  <c r="S3" i="29"/>
  <c r="M5" i="30" s="1"/>
  <c r="R3" i="27"/>
  <c r="G43" i="30"/>
  <c r="S59" i="29"/>
  <c r="S79" i="29" s="1"/>
  <c r="R12" i="20"/>
  <c r="R40" i="29"/>
  <c r="S17" i="20"/>
  <c r="R33" i="20"/>
  <c r="R8" i="25"/>
  <c r="R48" i="27"/>
  <c r="R52" i="20"/>
  <c r="R43" i="20"/>
  <c r="S27" i="20"/>
  <c r="R64" i="20"/>
  <c r="S34" i="25"/>
  <c r="M40" i="30" s="1"/>
  <c r="R32" i="25"/>
  <c r="R31" i="25"/>
  <c r="N35" i="30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G20" i="30" s="1"/>
  <c r="S73" i="27"/>
  <c r="S74" i="20"/>
  <c r="I79" i="20"/>
  <c r="T69" i="20"/>
  <c r="T74" i="20"/>
  <c r="J79" i="25"/>
  <c r="S61" i="25"/>
  <c r="S67" i="25"/>
  <c r="T69" i="25"/>
  <c r="T59" i="25"/>
  <c r="N47" i="30" s="1"/>
  <c r="T68" i="25"/>
  <c r="T71" i="25"/>
  <c r="T74" i="25"/>
  <c r="S71" i="25"/>
  <c r="T73" i="25"/>
  <c r="T61" i="25"/>
  <c r="T67" i="25"/>
  <c r="T70" i="25"/>
  <c r="S63" i="25"/>
  <c r="T64" i="25"/>
  <c r="N48" i="30" s="1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F20" i="30" s="1"/>
  <c r="T60" i="27"/>
  <c r="S72" i="27"/>
  <c r="S62" i="27"/>
  <c r="G19" i="9"/>
  <c r="G55" i="30"/>
  <c r="N17" i="30"/>
  <c r="T78" i="29"/>
  <c r="M28" i="30"/>
  <c r="F40" i="9"/>
  <c r="T76" i="27"/>
  <c r="G6" i="9" s="1"/>
  <c r="S12" i="29"/>
  <c r="S66" i="29"/>
  <c r="S57" i="29"/>
  <c r="R52" i="25"/>
  <c r="S61" i="29"/>
  <c r="R43" i="29"/>
  <c r="R20" i="20"/>
  <c r="S42" i="20"/>
  <c r="R16" i="27"/>
  <c r="S38" i="20"/>
  <c r="S15" i="27"/>
  <c r="F8" i="30" s="1"/>
  <c r="R42" i="25"/>
  <c r="R41" i="20"/>
  <c r="S10" i="29"/>
  <c r="R68" i="27"/>
  <c r="S60" i="20"/>
  <c r="S8" i="27"/>
  <c r="M19" i="30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F35" i="30" s="1"/>
  <c r="S43" i="25"/>
  <c r="M43" i="30" s="1"/>
  <c r="S61" i="27"/>
  <c r="S7" i="29"/>
  <c r="M6" i="30" s="1"/>
  <c r="S70" i="29"/>
  <c r="G11" i="30"/>
  <c r="S37" i="29"/>
  <c r="S22" i="20"/>
  <c r="R69" i="27"/>
  <c r="S33" i="29"/>
  <c r="S32" i="20"/>
  <c r="R41" i="29"/>
  <c r="G8" i="30"/>
  <c r="S78" i="20"/>
  <c r="S39" i="20"/>
  <c r="S72" i="25"/>
  <c r="S34" i="29"/>
  <c r="R58" i="27"/>
  <c r="R65" i="27"/>
  <c r="R58" i="20"/>
  <c r="R78" i="20" s="1"/>
  <c r="R31" i="20"/>
  <c r="R26" i="20"/>
  <c r="R59" i="25"/>
  <c r="F37" i="30"/>
  <c r="T78" i="27"/>
  <c r="G27" i="30" s="1"/>
  <c r="G17" i="30"/>
  <c r="G38" i="30"/>
  <c r="T75" i="29"/>
  <c r="T80" i="29"/>
  <c r="N5" i="30"/>
  <c r="N38" i="30"/>
  <c r="G40" i="9"/>
  <c r="Q75" i="27"/>
  <c r="R43" i="27"/>
  <c r="S43" i="27"/>
  <c r="S21" i="25"/>
  <c r="M37" i="30" s="1"/>
  <c r="R21" i="25"/>
  <c r="S67" i="27"/>
  <c r="R67" i="27"/>
  <c r="R70" i="27"/>
  <c r="S70" i="27"/>
  <c r="R48" i="20"/>
  <c r="S48" i="20"/>
  <c r="R21" i="27"/>
  <c r="R4" i="27"/>
  <c r="G40" i="30"/>
  <c r="G36" i="30"/>
  <c r="Q75" i="29"/>
  <c r="T51" i="25"/>
  <c r="G15" i="30"/>
  <c r="S39" i="27"/>
  <c r="R39" i="27"/>
  <c r="F38" i="30"/>
  <c r="T77" i="29"/>
  <c r="N25" i="30" s="1"/>
  <c r="S78" i="25"/>
  <c r="Q78" i="20"/>
  <c r="S70" i="25"/>
  <c r="S25" i="27"/>
  <c r="R21" i="29"/>
  <c r="S32" i="29"/>
  <c r="S31" i="27"/>
  <c r="R31" i="27"/>
  <c r="R50" i="20"/>
  <c r="S50" i="20"/>
  <c r="R53" i="29"/>
  <c r="R78" i="29" s="1"/>
  <c r="S9" i="20"/>
  <c r="S9" i="25"/>
  <c r="S42" i="27"/>
  <c r="N43" i="30"/>
  <c r="N42" i="30"/>
  <c r="Q79" i="29"/>
  <c r="S77" i="29"/>
  <c r="F37" i="9" s="1"/>
  <c r="S34" i="20"/>
  <c r="S30" i="29"/>
  <c r="G10" i="30"/>
  <c r="R74" i="27"/>
  <c r="S74" i="27"/>
  <c r="S11" i="25"/>
  <c r="Q79" i="27"/>
  <c r="R13" i="29"/>
  <c r="S13" i="29"/>
  <c r="S12" i="25"/>
  <c r="Q80" i="27"/>
  <c r="S41" i="25"/>
  <c r="M33" i="30"/>
  <c r="S13" i="25"/>
  <c r="G14" i="30"/>
  <c r="R11" i="20"/>
  <c r="R11" i="27"/>
  <c r="S19" i="29"/>
  <c r="G44" i="30"/>
  <c r="R65" i="25"/>
  <c r="S65" i="25"/>
  <c r="T76" i="29"/>
  <c r="S36" i="25"/>
  <c r="S9" i="27"/>
  <c r="S4" i="29"/>
  <c r="S56" i="29"/>
  <c r="R17" i="27"/>
  <c r="S71" i="20"/>
  <c r="S40" i="25"/>
  <c r="S22" i="27"/>
  <c r="S37" i="25"/>
  <c r="S46" i="25"/>
  <c r="R28" i="27"/>
  <c r="S28" i="27"/>
  <c r="F11" i="30" s="1"/>
  <c r="G9" i="30"/>
  <c r="S16" i="20"/>
  <c r="F36" i="30" s="1"/>
  <c r="Q80" i="20"/>
  <c r="R61" i="20"/>
  <c r="R58" i="25"/>
  <c r="R67" i="25"/>
  <c r="G12" i="30"/>
  <c r="S75" i="29"/>
  <c r="S80" i="29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T76" i="20" s="1"/>
  <c r="Q76" i="20"/>
  <c r="S64" i="25"/>
  <c r="R64" i="25"/>
  <c r="M36" i="30"/>
  <c r="G39" i="30"/>
  <c r="G42" i="30"/>
  <c r="Q80" i="25"/>
  <c r="T4" i="25"/>
  <c r="N33" i="30" s="1"/>
  <c r="Q75" i="25"/>
  <c r="Q81" i="25"/>
  <c r="Q82" i="25" s="1"/>
  <c r="Q77" i="27"/>
  <c r="N39" i="30"/>
  <c r="R23" i="27"/>
  <c r="S23" i="27"/>
  <c r="R71" i="27"/>
  <c r="S71" i="27"/>
  <c r="T77" i="27"/>
  <c r="N44" i="30"/>
  <c r="Q77" i="25"/>
  <c r="T35" i="25"/>
  <c r="S26" i="29"/>
  <c r="R26" i="29"/>
  <c r="T11" i="20"/>
  <c r="G35" i="30" s="1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F43" i="30" s="1"/>
  <c r="R26" i="27"/>
  <c r="S26" i="27"/>
  <c r="S36" i="27"/>
  <c r="F13" i="30" s="1"/>
  <c r="R36" i="27"/>
  <c r="Q77" i="20"/>
  <c r="Q79" i="20"/>
  <c r="R60" i="25"/>
  <c r="S60" i="25"/>
  <c r="M47" i="30" s="1"/>
  <c r="S24" i="27"/>
  <c r="R24" i="27"/>
  <c r="R33" i="27"/>
  <c r="S33" i="27"/>
  <c r="G37" i="9"/>
  <c r="T77" i="20"/>
  <c r="G41" i="30"/>
  <c r="R76" i="20"/>
  <c r="G7" i="30"/>
  <c r="G5" i="30"/>
  <c r="T80" i="27"/>
  <c r="T75" i="27"/>
  <c r="N40" i="30"/>
  <c r="N37" i="30"/>
  <c r="T76" i="25"/>
  <c r="G6" i="30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M39" i="30" s="1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G16" i="30"/>
  <c r="Q81" i="27"/>
  <c r="Q82" i="27" s="1"/>
  <c r="G13" i="30"/>
  <c r="R8" i="20"/>
  <c r="R45" i="25"/>
  <c r="Q77" i="29"/>
  <c r="S49" i="25"/>
  <c r="M44" i="30" s="1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AG12" i="10"/>
  <c r="AG15" i="10" s="1"/>
  <c r="AG13" i="10"/>
  <c r="AG16" i="10" s="1"/>
  <c r="AD12" i="10"/>
  <c r="AD15" i="10" s="1"/>
  <c r="AD13" i="10"/>
  <c r="AD16" i="10" s="1"/>
  <c r="AF12" i="10"/>
  <c r="AF15" i="10" s="1"/>
  <c r="AF13" i="10"/>
  <c r="AF16" i="10" s="1"/>
  <c r="AE13" i="10"/>
  <c r="AE16" i="10" s="1"/>
  <c r="AE12" i="10"/>
  <c r="AE15" i="10" s="1"/>
  <c r="G19" i="30" l="1"/>
  <c r="F50" i="30"/>
  <c r="G37" i="30"/>
  <c r="G48" i="30"/>
  <c r="R77" i="29"/>
  <c r="G49" i="30"/>
  <c r="M41" i="30"/>
  <c r="F39" i="30"/>
  <c r="F47" i="30"/>
  <c r="T75" i="25"/>
  <c r="F34" i="30"/>
  <c r="S75" i="27"/>
  <c r="T79" i="25"/>
  <c r="G30" i="9" s="1"/>
  <c r="F42" i="30"/>
  <c r="R78" i="25"/>
  <c r="M49" i="30"/>
  <c r="G22" i="30"/>
  <c r="F21" i="30"/>
  <c r="T79" i="27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G24" i="30"/>
  <c r="G39" i="9"/>
  <c r="N27" i="30"/>
  <c r="S76" i="20"/>
  <c r="F16" i="9" s="1"/>
  <c r="F40" i="30"/>
  <c r="F19" i="9"/>
  <c r="F55" i="30"/>
  <c r="M34" i="30"/>
  <c r="R79" i="27"/>
  <c r="R75" i="29"/>
  <c r="G9" i="9"/>
  <c r="R76" i="29"/>
  <c r="R76" i="25"/>
  <c r="R77" i="20"/>
  <c r="R79" i="29"/>
  <c r="T78" i="25"/>
  <c r="N45" i="30"/>
  <c r="S80" i="27"/>
  <c r="F8" i="9" s="1"/>
  <c r="M25" i="30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N24" i="30"/>
  <c r="G35" i="9"/>
  <c r="N23" i="30"/>
  <c r="F10" i="30"/>
  <c r="F14" i="30"/>
  <c r="M38" i="30"/>
  <c r="R77" i="25"/>
  <c r="F12" i="30"/>
  <c r="G38" i="9"/>
  <c r="N26" i="30"/>
  <c r="G26" i="9"/>
  <c r="N52" i="30"/>
  <c r="F35" i="9"/>
  <c r="M23" i="30"/>
  <c r="S77" i="27"/>
  <c r="S76" i="25"/>
  <c r="S80" i="25"/>
  <c r="G25" i="9"/>
  <c r="N51" i="30"/>
  <c r="F41" i="30"/>
  <c r="S77" i="20"/>
  <c r="G52" i="30"/>
  <c r="G16" i="9"/>
  <c r="G53" i="30"/>
  <c r="G17" i="9"/>
  <c r="S76" i="27"/>
  <c r="F9" i="30"/>
  <c r="G8" i="9"/>
  <c r="G26" i="30"/>
  <c r="G25" i="30"/>
  <c r="G7" i="9"/>
  <c r="G10" i="9"/>
  <c r="G28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G5" i="9"/>
  <c r="G23" i="30"/>
  <c r="F23" i="30"/>
  <c r="F5" i="9"/>
  <c r="S78" i="27"/>
  <c r="F17" i="30"/>
  <c r="S75" i="25"/>
  <c r="R79" i="20"/>
  <c r="T80" i="25"/>
  <c r="R76" i="27"/>
  <c r="T80" i="20"/>
  <c r="T75" i="20"/>
  <c r="G33" i="30"/>
  <c r="R80" i="25"/>
  <c r="R80" i="20"/>
  <c r="R81" i="20"/>
  <c r="R82" i="20" s="1"/>
  <c r="R75" i="20"/>
  <c r="M26" i="30"/>
  <c r="F38" i="9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N56" i="30" l="1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<sst xmlns="http://schemas.openxmlformats.org/spreadsheetml/2006/main" count="974" uniqueCount="408">
  <si>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</si>
  <si>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</si>
  <si>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</si>
  <si>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</si>
  <si>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</si>
  <si>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</si>
  <si>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</si>
  <si>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</si>
  <si>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</si>
  <si>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</si>
  <si>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</si>
  <si>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</si>
  <si>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</si>
  <si>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</si>
  <si>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</si>
  <si>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</si>
  <si>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</si>
  <si>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</si>
  <si>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</si>
  <si>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</si>
  <si>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</si>
  <si>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</si>
  <si>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</si>
  <si>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</si>
  <si>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</si>
  <si>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</si>
  <si>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</si>
  <si>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</si>
  <si>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</si>
  <si>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</si>
  <si>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</si>
  <si>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</si>
  <si>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</si>
  <si>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</si>
  <si>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</si>
  <si>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</si>
  <si>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</si>
  <si>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</si>
  <si>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</si>
  <si>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</si>
  <si>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</si>
  <si>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</si>
  <si>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</si>
  <si>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</si>
  <si>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</si>
  <si>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</si>
  <si>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</si>
  <si>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</si>
  <si>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</si>
  <si>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</si>
  <si>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</si>
  <si>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</si>
  <si>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</si>
  <si>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</si>
  <si>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</si>
  <si>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</si>
  <si>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</si>
  <si>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</si>
  <si>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</si>
  <si>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</si>
  <si>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</si>
  <si>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</si>
  <si>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</si>
  <si>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</si>
  <si>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</si>
  <si>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</si>
  <si>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</si>
  <si>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</si>
  <si>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</si>
  <si>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</si>
  <si>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</si>
  <si>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</si>
  <si>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</si>
  <si>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</si>
  <si>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</si>
  <si>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</si>
  <si>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</si>
  <si>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</si>
  <si>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</si>
  <si>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</si>
  <si>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</si>
  <si>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</si>
  <si>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</si>
  <si>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</si>
  <si>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</si>
  <si>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</si>
  <si>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</si>
  <si>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</si>
  <si>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</si>
  <si>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</si>
  <si>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</si>
  <si>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</si>
  <si>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</si>
  <si>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</si>
  <si>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</si>
  <si>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</si>
  <si>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</si>
  <si>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</si>
  <si>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</si>
  <si>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</si>
  <si>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</si>
  <si>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</si>
  <si>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</si>
  <si>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</si>
  <si>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</si>
  <si>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</si>
  <si>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</si>
  <si>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</si>
  <si>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</si>
  <si>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</si>
  <si>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</si>
  <si>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</si>
  <si>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</si>
  <si>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</si>
  <si>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</si>
  <si>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</si>
  <si>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</si>
  <si>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</si>
  <si>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</si>
  <si>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</si>
  <si>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</si>
  <si>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</si>
  <si>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</si>
  <si>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</si>
  <si>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</si>
  <si>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</si>
  <si>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</si>
  <si>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</si>
  <si>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</si>
  <si>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</si>
  <si>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</si>
  <si>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</si>
  <si>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</si>
  <si>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</si>
  <si>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</si>
  <si>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</si>
  <si>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</si>
  <si>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</si>
  <si>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</si>
  <si>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</si>
  <si>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</si>
  <si>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</si>
  <si>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</si>
  <si>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</si>
  <si>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</si>
  <si>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</si>
  <si>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</si>
  <si>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</si>
  <si>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</si>
  <si>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</si>
  <si>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</si>
  <si>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</si>
  <si>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</si>
  <si>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</si>
  <si>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</si>
  <si>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</si>
  <si>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</si>
  <si>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</si>
  <si>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</si>
  <si>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</si>
  <si>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</si>
  <si>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</si>
  <si>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</si>
  <si>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</si>
  <si>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</si>
  <si>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</si>
  <si>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</si>
  <si>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</si>
  <si>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</si>
  <si>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</si>
  <si>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</si>
  <si>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</si>
  <si>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</si>
  <si>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</si>
  <si>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</si>
  <si>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</si>
  <si>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</si>
  <si>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</si>
  <si>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</si>
  <si>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</si>
  <si>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</si>
  <si>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</si>
  <si>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</si>
  <si>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</si>
  <si>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</si>
  <si>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</si>
  <si>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</si>
  <si>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</si>
  <si>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</si>
  <si>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</si>
  <si>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</si>
  <si>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</si>
  <si>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</si>
  <si>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</si>
  <si>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</si>
  <si>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</si>
  <si>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</si>
  <si>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</si>
  <si>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</si>
  <si>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</si>
  <si>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</si>
  <si>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</si>
  <si>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</si>
  <si>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</si>
  <si>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</si>
  <si>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</si>
  <si>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</si>
  <si>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</si>
  <si>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</si>
  <si>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</si>
  <si>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</si>
  <si>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</si>
  <si>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</si>
  <si>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</si>
  <si>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</si>
  <si>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</si>
  <si>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</si>
  <si>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</si>
  <si>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</si>
  <si>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</si>
  <si>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</si>
  <si>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</si>
  <si>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</si>
  <si>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</si>
  <si>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</si>
  <si>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</si>
  <si>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</si>
  <si>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</si>
  <si>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</si>
  <si>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</si>
  <si>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</si>
  <si>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</si>
  <si>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</si>
  <si>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</si>
  <si>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</si>
  <si>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</si>
  <si>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</si>
  <si>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</si>
  <si>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</si>
  <si>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</si>
  <si>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</si>
  <si>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</si>
  <si>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</si>
  <si>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</si>
  <si>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</si>
  <si>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</si>
  <si>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</si>
  <si>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</si>
  <si>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</si>
  <si>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</si>
  <si>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</si>
  <si>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</si>
  <si>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</si>
  <si>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</si>
  <si>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</si>
  <si>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</si>
  <si>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</si>
  <si>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</si>
  <si>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</si>
  <si>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</si>
  <si>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</si>
  <si>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</si>
  <si>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</si>
  <si>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</si>
  <si>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</si>
  <si>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</si>
  <si>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</si>
  <si>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</si>
  <si>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</si>
  <si>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</si>
  <si>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</si>
  <si>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</si>
  <si>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</si>
  <si>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</si>
  <si>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</si>
  <si>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</si>
  <si>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</si>
  <si>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</si>
  <si>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</si>
  <si>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</si>
  <si>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</si>
  <si>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</si>
  <si>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</si>
  <si>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</si>
  <si>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</si>
  <si>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</si>
  <si>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</si>
  <si>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</si>
  <si>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</si>
  <si>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</si>
  <si>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</si>
  <si>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</si>
  <si>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</si>
  <si>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</si>
  <si>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</si>
  <si>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</si>
  <si>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</si>
  <si>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</si>
  <si>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</si>
  <si>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</si>
  <si>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</si>
  <si>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</si>
  <si>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</si>
  <si>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</si>
  <si>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</si>
  <si>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</si>
  <si>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</si>
  <si>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</si>
  <si>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</si>
  <si>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</si>
  <si>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</si>
  <si>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</si>
  <si>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</si>
  <si>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</si>
  <si>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</si>
  <si>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</si>
  <si>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</si>
  <si>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</si>
  <si>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</si>
  <si>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</si>
  <si>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</si>
  <si>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</si>
  <si>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</si>
  <si>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</si>
  <si>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</si>
  <si>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</si>
  <si>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</si>
  <si>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</si>
  <si>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</si>
  <si>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</si>
  <si>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</si>
  <si>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</si>
  <si>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</si>
  <si>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</si>
  <si>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</si>
  <si>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</si>
  <si>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</si>
  <si>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</si>
  <si>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</si>
  <si>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</si>
  <si>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</si>
  <si>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</si>
  <si>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</si>
  <si>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</si>
  <si>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</si>
  <si>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</si>
  <si>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</si>
  <si>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</si>
  <si>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</si>
  <si>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</si>
  <si>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</si>
  <si>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</si>
  <si>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</si>
  <si>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</si>
  <si>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</si>
  <si>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</si>
  <si>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</si>
  <si>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</si>
  <si>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</si>
  <si>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</si>
  <si>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</si>
  <si>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</si>
  <si>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</si>
  <si>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</si>
  <si>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</si>
  <si>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</si>
  <si>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</si>
  <si>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</si>
  <si>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</si>
  <si>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</si>
  <si>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</si>
  <si>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</si>
  <si>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</si>
  <si>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</si>
  <si>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</si>
  <si>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</si>
  <si>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</si>
  <si>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</si>
  <si>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</si>
  <si>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</si>
  <si>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</si>
  <si>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</si>
  <si>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</si>
  <si>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</si>
  <si>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</si>
  <si>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</si>
  <si>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</si>
  <si>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</si>
  <si>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</si>
  <si>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</si>
  <si>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HPM6.0</t>
    <phoneticPr fontId="1" type="noConversion"/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</si>
  <si>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</si>
  <si>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</si>
  <si>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</si>
  <si>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</si>
  <si>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</si>
  <si>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</si>
  <si>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</si>
  <si>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</si>
  <si>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</si>
  <si>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</si>
  <si>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</si>
  <si>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</si>
  <si>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</si>
  <si>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</si>
  <si>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</si>
  <si>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</si>
  <si>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HPM7.0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</si>
</sst>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/>
    <cellStyle name="常规 3" xfId="7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9199.3520000000008</c:v>
                </c:pt>
                <c:pt idx="1">
                  <c:v>4951.32</c:v>
                </c:pt>
                <c:pt idx="2">
                  <c:v>2457.2600000000002</c:v>
                </c:pt>
                <c:pt idx="3">
                  <c:v>1142.056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41.379300000000001</c:v>
                </c:pt>
                <c:pt idx="1">
                  <c:v>39.086100000000002</c:v>
                </c:pt>
                <c:pt idx="2">
                  <c:v>36.537100000000002</c:v>
                </c:pt>
                <c:pt idx="3">
                  <c:v>33.718299999999999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9018.0759999999991</c:v>
                </c:pt>
                <c:pt idx="1">
                  <c:v>4852.3119999999999</c:v>
                </c:pt>
                <c:pt idx="2">
                  <c:v>2417.8560000000002</c:v>
                </c:pt>
                <c:pt idx="3">
                  <c:v>1134.7719999999999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41.404899999999998</c:v>
                </c:pt>
                <c:pt idx="1">
                  <c:v>39.112499999999997</c:v>
                </c:pt>
                <c:pt idx="2">
                  <c:v>36.566699999999997</c:v>
                </c:pt>
                <c:pt idx="3">
                  <c:v>33.747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9199.3520000000008</c:v>
                </c:pt>
                <c:pt idx="1">
                  <c:v>4951.32</c:v>
                </c:pt>
                <c:pt idx="2">
                  <c:v>2457.2600000000002</c:v>
                </c:pt>
                <c:pt idx="3">
                  <c:v>1142.056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43.576999999999998</c:v>
                </c:pt>
                <c:pt idx="1">
                  <c:v>41.796199999999999</c:v>
                </c:pt>
                <c:pt idx="2">
                  <c:v>39.892000000000003</c:v>
                </c:pt>
                <c:pt idx="3">
                  <c:v>37.679000000000002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9018.0759999999991</c:v>
                </c:pt>
                <c:pt idx="1">
                  <c:v>4852.3119999999999</c:v>
                </c:pt>
                <c:pt idx="2">
                  <c:v>2417.8560000000002</c:v>
                </c:pt>
                <c:pt idx="3">
                  <c:v>1134.7719999999999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43.662599999999998</c:v>
                </c:pt>
                <c:pt idx="1">
                  <c:v>41.9193</c:v>
                </c:pt>
                <c:pt idx="2">
                  <c:v>40.004300000000001</c:v>
                </c:pt>
                <c:pt idx="3">
                  <c:v>37.774999999999999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9199.3520000000008</c:v>
                </c:pt>
                <c:pt idx="1">
                  <c:v>4951.32</c:v>
                </c:pt>
                <c:pt idx="2">
                  <c:v>2457.2600000000002</c:v>
                </c:pt>
                <c:pt idx="3">
                  <c:v>1142.056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44.043999999999997</c:v>
                </c:pt>
                <c:pt idx="1">
                  <c:v>42.137500000000003</c:v>
                </c:pt>
                <c:pt idx="2">
                  <c:v>40.063400000000001</c:v>
                </c:pt>
                <c:pt idx="3">
                  <c:v>37.6995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9018.0759999999991</c:v>
                </c:pt>
                <c:pt idx="1">
                  <c:v>4852.3119999999999</c:v>
                </c:pt>
                <c:pt idx="2">
                  <c:v>2417.8560000000002</c:v>
                </c:pt>
                <c:pt idx="3">
                  <c:v>1134.7719999999999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44.04</c:v>
                </c:pt>
                <c:pt idx="1">
                  <c:v>42.133099999999999</c:v>
                </c:pt>
                <c:pt idx="2">
                  <c:v>40.099499999999999</c:v>
                </c:pt>
                <c:pt idx="3">
                  <c:v>37.715699999999998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HPM6.0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9199.3520000000008</c:v>
                </c:pt>
                <c:pt idx="1">
                  <c:v>4951.32</c:v>
                </c:pt>
                <c:pt idx="2">
                  <c:v>2457.2600000000002</c:v>
                </c:pt>
                <c:pt idx="3">
                  <c:v>1142.056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41.379300000000001</c:v>
                </c:pt>
                <c:pt idx="1">
                  <c:v>39.086100000000002</c:v>
                </c:pt>
                <c:pt idx="2">
                  <c:v>36.537100000000002</c:v>
                </c:pt>
                <c:pt idx="3">
                  <c:v>33.718299999999999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9018.0759999999991</c:v>
                </c:pt>
                <c:pt idx="1">
                  <c:v>4852.3119999999999</c:v>
                </c:pt>
                <c:pt idx="2">
                  <c:v>2417.8560000000002</c:v>
                </c:pt>
                <c:pt idx="3">
                  <c:v>1134.7719999999999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41.404899999999998</c:v>
                </c:pt>
                <c:pt idx="1">
                  <c:v>39.112499999999997</c:v>
                </c:pt>
                <c:pt idx="2">
                  <c:v>36.566699999999997</c:v>
                </c:pt>
                <c:pt idx="3">
                  <c:v>33.747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xmlns="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xmlns="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xmlns="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xmlns="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O132"/>
  <sheetViews>
    <sheetView zoomScale="85" zoomScaleNormal="85" workbookViewId="0">
      <selection activeCell="O16" sqref="O16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HPM6.0</v>
      </c>
      <c r="D3" s="151"/>
      <c r="E3" s="151"/>
      <c r="F3" s="151"/>
      <c r="G3" s="152"/>
      <c r="I3" s="102"/>
      <c r="J3" s="150" t="str">
        <f>CONCATENATE("Over ", Summary!$J$3)</f>
        <v>Over HPM6.0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-3.4311981380594769E-3</v>
      </c>
      <c r="D5" s="112">
        <f>'AI-10'!$W$3</f>
        <v>-2.2118146885825474E-2</v>
      </c>
      <c r="E5" s="113">
        <f>'AI-10'!$X$3</f>
        <v>4.2308474850036859E-3</v>
      </c>
      <c r="F5" s="114">
        <f>GEOMEAN('AI-10'!$S$3:'AI-10'!$S$6)</f>
        <v>1.0745146647507111</v>
      </c>
      <c r="G5" s="115">
        <f>GEOMEAN('AI-10'!$T$3:'AI-10'!$T$6)</f>
        <v>1.0111509382125552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-5.5680765469768856E-3</v>
      </c>
      <c r="D6" s="118">
        <f>'AI-10'!$W$7</f>
        <v>-9.2906298668238296E-4</v>
      </c>
      <c r="E6" s="119">
        <f>'AI-10'!$X$7</f>
        <v>3.9360517799122974E-3</v>
      </c>
      <c r="F6" s="120">
        <f>GEOMEAN('AI-10'!$S$7:'AI-10'!$S$10)</f>
        <v>1.2140713228100013</v>
      </c>
      <c r="G6" s="121">
        <f>GEOMEAN('AI-10'!$T$7:'AI-10'!$T$10)</f>
        <v>1.0295236512948978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-2.8382163612244993E-3</v>
      </c>
      <c r="D7" s="118">
        <f>'AI-10'!$W$11</f>
        <v>-8.7734543745225935E-3</v>
      </c>
      <c r="E7" s="119">
        <f>'AI-10'!$X$11</f>
        <v>1.6743207615137257E-2</v>
      </c>
      <c r="F7" s="130">
        <f>GEOMEAN('AI-10'!$S$11:'AI-10'!$S$14)</f>
        <v>1.1716124327395179</v>
      </c>
      <c r="G7" s="121">
        <f>GEOMEAN('AI-10'!$T$11:'AI-10'!$T$14)</f>
        <v>1.0384320363403641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-5.7712428449390174E-3</v>
      </c>
      <c r="D8" s="124">
        <f>'AI-10'!$W$15</f>
        <v>-3.3023246377518967E-2</v>
      </c>
      <c r="E8" s="125">
        <f>'AI-10'!$X$15</f>
        <v>1.0470396535729787E-2</v>
      </c>
      <c r="F8" s="126">
        <f>GEOMEAN('AI-10'!$S$15:'AI-10'!$S$18)</f>
        <v>1.14416349164239</v>
      </c>
      <c r="G8" s="127">
        <f>GEOMEAN('AI-10'!$T$15:'AI-10'!$T$18)</f>
        <v>1.0086894206958255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-4.4856292232638983E-3</v>
      </c>
      <c r="D9" s="112">
        <f>'AI-10'!$W$19</f>
        <v>-1.3485094427932998E-2</v>
      </c>
      <c r="E9" s="113">
        <f>'AI-10'!$X$19</f>
        <v>-4.3258110048460807E-6</v>
      </c>
      <c r="F9" s="114">
        <f>GEOMEAN('AI-10'!$S$19:'AI-10'!$S$22)</f>
        <v>1.2089938941786083</v>
      </c>
      <c r="G9" s="115">
        <f>GEOMEAN('AI-10'!$T$19:'AI-10'!$T$22)</f>
        <v>1.0328590904870352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-8.0076868359167941E-3</v>
      </c>
      <c r="D10" s="118">
        <f>'AI-10'!$W$23</f>
        <v>-2.5625635688018455E-2</v>
      </c>
      <c r="E10" s="119">
        <f>'AI-10'!$X$23</f>
        <v>-8.1492383047901962E-3</v>
      </c>
      <c r="F10" s="120">
        <f>GEOMEAN('AI-10'!$S$23:'AI-10'!$S$26)</f>
        <v>1.1634941281899944</v>
      </c>
      <c r="G10" s="121">
        <f>GEOMEAN('AI-10'!$T$23:'AI-10'!$T$26)</f>
        <v>1.0294689505582346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-1.8905964625997029E-3</v>
      </c>
      <c r="D11" s="118">
        <f>'AI-10'!$W$27</f>
        <v>-1.1664487355945163E-2</v>
      </c>
      <c r="E11" s="119">
        <f>'AI-10'!$X$27</f>
        <v>-3.7072029102643844E-3</v>
      </c>
      <c r="F11" s="120">
        <f>GEOMEAN('AI-10'!$S$27:'AI-10'!$S$30)</f>
        <v>1.1802855641247998</v>
      </c>
      <c r="G11" s="121">
        <f>GEOMEAN('AI-10'!$T$27:'AI-10'!$T$30)</f>
        <v>1.0194751651561875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-5.0608658882945745E-3</v>
      </c>
      <c r="D12" s="124">
        <f>'AI-10'!$W$31</f>
        <v>-2.0459878475484694E-2</v>
      </c>
      <c r="E12" s="125">
        <f>'AI-10'!$X$31</f>
        <v>-3.9764005857561013E-3</v>
      </c>
      <c r="F12" s="126">
        <f>GEOMEAN('AI-10'!$S$31:'AI-10'!$S$34)</f>
        <v>1.1447121173547485</v>
      </c>
      <c r="G12" s="127">
        <f>GEOMEAN('AI-10'!$T$31:'AI-10'!$T$34)</f>
        <v>1.015933493220317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-5.5300850003222601E-3</v>
      </c>
      <c r="D13" s="112">
        <f>'AI-10'!$W$35</f>
        <v>-1.0362680664706359E-2</v>
      </c>
      <c r="E13" s="113">
        <f>'AI-10'!$X$35</f>
        <v>-2.0987581672196387E-2</v>
      </c>
      <c r="F13" s="114">
        <f>GEOMEAN('AI-10'!$S$35:'AI-10'!$S$38)</f>
        <v>1.2452010768304376</v>
      </c>
      <c r="G13" s="115">
        <f>GEOMEAN('AI-10'!$T$35:'AI-10'!$T$38)</f>
        <v>1.0262587734170798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-8.0661878831120859E-3</v>
      </c>
      <c r="D14" s="118">
        <f>'AI-10'!$W$39</f>
        <v>-2.6557276470593583E-2</v>
      </c>
      <c r="E14" s="119">
        <f>'AI-10'!$X$39</f>
        <v>7.7427805118392978E-3</v>
      </c>
      <c r="F14" s="120">
        <f>GEOMEAN('AI-10'!$S$39:'AI-10'!$S$42)</f>
        <v>1.150534393139627</v>
      </c>
      <c r="G14" s="121">
        <f>GEOMEAN('AI-10'!$T$39:'AI-10'!$T$42)</f>
        <v>1.0215339029463248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-4.5151286141096314E-3</v>
      </c>
      <c r="D15" s="118">
        <f>'AI-10'!$W$43</f>
        <v>-1.5916291720088682E-2</v>
      </c>
      <c r="E15" s="119">
        <f>'AI-10'!$X$43</f>
        <v>-9.5935607931082467E-3</v>
      </c>
      <c r="F15" s="120">
        <f>GEOMEAN('AI-10'!$S$43:'AI-10'!$S$46)</f>
        <v>1.1460724199268812</v>
      </c>
      <c r="G15" s="121">
        <f>GEOMEAN('AI-10'!$T$43:'AI-10'!$T$46)</f>
        <v>1.0341493162367388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-3.3392762378635643E-3</v>
      </c>
      <c r="D16" s="124">
        <f>'AI-10'!$W$47</f>
        <v>-1.4882671733970843E-2</v>
      </c>
      <c r="E16" s="125">
        <f>'AI-10'!$X$47</f>
        <v>-8.3489928146398551E-3</v>
      </c>
      <c r="F16" s="126">
        <f>GEOMEAN('AI-10'!$S$47:'AI-10'!$S$50)</f>
        <v>1.1489208106855562</v>
      </c>
      <c r="G16" s="127">
        <f>GEOMEAN('AI-10'!$T$47:'AI-10'!$T$50)</f>
        <v>1.0156313362625649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>
        <f>'AI-10'!$V$59</f>
        <v>-0.20894716972176453</v>
      </c>
      <c r="D19" s="112">
        <f>'AI-10'!$W$59</f>
        <v>-0.12103929197253072</v>
      </c>
      <c r="E19" s="113">
        <f>'AI-10'!$X$59</f>
        <v>-0.11766328285739769</v>
      </c>
      <c r="F19" s="114">
        <f>GEOMEAN('AI-10'!$S$59:'AI-10'!$S$62)</f>
        <v>1.0208509241641437</v>
      </c>
      <c r="G19" s="115">
        <f>GEOMEAN('AI-10'!$T$59:'AI-10'!$T$62)</f>
        <v>0.97191978846984683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>
        <f>'AI-10'!$V$63</f>
        <v>-0.36114391597005668</v>
      </c>
      <c r="D20" s="118">
        <f>'AI-10'!$W$63</f>
        <v>-0.27029053521974966</v>
      </c>
      <c r="E20" s="119">
        <f>'AI-10'!$X$63</f>
        <v>-0.26886927192111898</v>
      </c>
      <c r="F20" s="120">
        <f>GEOMEAN('AI-10'!$S$63:'AI-10'!$S$66)</f>
        <v>0.92230033813688117</v>
      </c>
      <c r="G20" s="121">
        <f>GEOMEAN('AI-10'!$T$63:'AI-10'!$T$66)</f>
        <v>0.90467809825278755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>
        <f>'AI-10'!$V$67</f>
        <v>-1.1897630027634887E-2</v>
      </c>
      <c r="D21" s="118">
        <f>'AI-10'!$W$67</f>
        <v>-1.9229748109702349E-2</v>
      </c>
      <c r="E21" s="119">
        <f>'AI-10'!$X$67</f>
        <v>1.0884244252446829E-2</v>
      </c>
      <c r="F21" s="120">
        <f>GEOMEAN('AI-10'!$S$67:'AI-10'!$S$70)</f>
        <v>1.1203037059340111</v>
      </c>
      <c r="G21" s="121">
        <f>GEOMEAN('AI-10'!$T$67:'AI-10'!$T$70)</f>
        <v>1.0122099926382051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>
        <f>'AI-10'!$V$71</f>
        <v>-0.39084366072031307</v>
      </c>
      <c r="D22" s="124">
        <f>'AI-10'!$W$71</f>
        <v>-0.23645412306396796</v>
      </c>
      <c r="E22" s="125">
        <f>'AI-10'!$X$71</f>
        <v>-0.2243454574210092</v>
      </c>
      <c r="F22" s="126">
        <f>GEOMEAN('AI-10'!$S$71:'AI-10'!$S$74)</f>
        <v>0.84728168367046808</v>
      </c>
      <c r="G22" s="127">
        <f>GEOMEAN('AI-10'!$T$71:'AI-10'!$T$74)</f>
        <v>0.92824330993605253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-4.4021834727999698E-3</v>
      </c>
      <c r="D23" s="112">
        <f>'AI-10'!$W75</f>
        <v>-1.6210977656137354E-2</v>
      </c>
      <c r="E23" s="113">
        <f>'AI-10'!$X75</f>
        <v>8.8451258539457567E-3</v>
      </c>
      <c r="F23" s="128">
        <f>'AI-10'!$S75</f>
        <v>1.1499584568129069</v>
      </c>
      <c r="G23" s="115">
        <f>'AI-10'!$T75</f>
        <v>1.021873096332705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-4.8611946025187425E-3</v>
      </c>
      <c r="D24" s="118">
        <f>'AI-10'!$W76</f>
        <v>-1.7808773986845328E-2</v>
      </c>
      <c r="E24" s="119">
        <f>'AI-10'!$X76</f>
        <v>-3.959291902953882E-3</v>
      </c>
      <c r="F24" s="130">
        <f>'AI-10'!$S76</f>
        <v>1.1741346904603218</v>
      </c>
      <c r="G24" s="121">
        <f>'AI-10'!$T76</f>
        <v>1.0244106018796482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-5.3626694338518854E-3</v>
      </c>
      <c r="D25" s="118">
        <f>'AI-10'!$W77</f>
        <v>-1.6929730147339866E-2</v>
      </c>
      <c r="E25" s="119">
        <f>'AI-10'!$X77</f>
        <v>-7.7968386920262978E-3</v>
      </c>
      <c r="F25" s="130">
        <f>'AI-10'!$S77</f>
        <v>1.1719533172733327</v>
      </c>
      <c r="G25" s="121">
        <f>'AI-10'!$T77</f>
        <v>1.0243709460866277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-4.8753491697235323E-3</v>
      </c>
      <c r="D26" s="137">
        <f>'AI-10'!$W80</f>
        <v>-1.6983160596774183E-2</v>
      </c>
      <c r="E26" s="136">
        <f>'AI-10'!$X80</f>
        <v>-9.7033491367814106E-4</v>
      </c>
      <c r="F26" s="135">
        <f>'AI-10'!$S80</f>
        <v>1.1652974459562275</v>
      </c>
      <c r="G26" s="134">
        <f>'AI-10'!$T80</f>
        <v>1.0235508595008591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>
        <f>'AI-10'!$V79</f>
        <v>-0.24320809410994229</v>
      </c>
      <c r="D28" s="124">
        <f>'AI-10'!$W79</f>
        <v>-0.16175342459148767</v>
      </c>
      <c r="E28" s="125">
        <f>'AI-10'!$X79</f>
        <v>-0.14999844198676976</v>
      </c>
      <c r="F28" s="126">
        <f>'AI-10'!$S79</f>
        <v>0.97229840025115</v>
      </c>
      <c r="G28" s="127">
        <f>'AI-10'!$T79</f>
        <v>0.95337604910303564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HPM6.0</v>
      </c>
      <c r="D31" s="151"/>
      <c r="E31" s="151"/>
      <c r="F31" s="151"/>
      <c r="G31" s="152"/>
      <c r="I31" s="102"/>
      <c r="J31" s="150" t="str">
        <f>CONCATENATE("Over ", Summary!$J$3)</f>
        <v>Over HPM6.0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-7.1779513796644823E-3</v>
      </c>
      <c r="D33" s="112">
        <f>'RA-10'!$W$3</f>
        <v>-2.7741005534372087E-2</v>
      </c>
      <c r="E33" s="113">
        <f>'RA-10'!$X$3</f>
        <v>-8.3063759379506941E-3</v>
      </c>
      <c r="F33" s="114">
        <f>GEOMEAN('RA-10'!$S$3:'RA-10'!$S$6)</f>
        <v>0.75656840726191987</v>
      </c>
      <c r="G33" s="115">
        <f>GEOMEAN('RA-10'!$T$3:'RA-10'!$T$6)</f>
        <v>0.99966452446943754</v>
      </c>
      <c r="I33" s="110" t="str">
        <f>'AI-10'!$B$3</f>
        <v>Tango2</v>
      </c>
      <c r="J33" s="111">
        <f>'LDB-10'!$V$3</f>
        <v>-8.7600947260865203E-3</v>
      </c>
      <c r="K33" s="112">
        <f>'LDB-10'!$W$3</f>
        <v>-2.9586091827932037E-2</v>
      </c>
      <c r="L33" s="113">
        <f>'LDB-10'!$X$3</f>
        <v>-2.7733926401968478E-2</v>
      </c>
      <c r="M33" s="114">
        <f>GEOMEAN('LDB-10'!$S$3:'LDB-10'!$S$6)</f>
        <v>0.88913049099265373</v>
      </c>
      <c r="N33" s="115">
        <f>GEOMEAN('LDB-10'!$T$3:'LDB-10'!$T$6)</f>
        <v>1.0040615702046902</v>
      </c>
    </row>
    <row r="34" spans="2:14" ht="12.75" customHeight="1" x14ac:dyDescent="0.2">
      <c r="B34" s="116" t="str">
        <f>'AI-10'!$B$7</f>
        <v>ParkRunning3</v>
      </c>
      <c r="C34" s="117">
        <f>'RA-10'!$V$7</f>
        <v>-9.4352009898778233E-3</v>
      </c>
      <c r="D34" s="118">
        <f>'RA-10'!$W$7</f>
        <v>-1.3421595905755423E-2</v>
      </c>
      <c r="E34" s="119">
        <f>'RA-10'!$X$7</f>
        <v>-1.4404862288520892E-2</v>
      </c>
      <c r="F34" s="120">
        <f>GEOMEAN('RA-10'!$S$7:'RA-10'!$S$10)</f>
        <v>0.9274462504781803</v>
      </c>
      <c r="G34" s="121">
        <f>GEOMEAN('RA-10'!$T$7:'RA-10'!$T$10)</f>
        <v>1.0099726765198243</v>
      </c>
      <c r="I34" s="116" t="str">
        <f>'AI-10'!$B$7</f>
        <v>ParkRunning3</v>
      </c>
      <c r="J34" s="117">
        <f>'LDB-10'!$V$7</f>
        <v>-1.1172660108654031E-2</v>
      </c>
      <c r="K34" s="118">
        <f>'LDB-10'!$W$7</f>
        <v>-1.5000561534407209E-2</v>
      </c>
      <c r="L34" s="119">
        <f>'LDB-10'!$X$7</f>
        <v>-1.6954622888820436E-2</v>
      </c>
      <c r="M34" s="120">
        <f>GEOMEAN('LDB-10'!$S$7:'LDB-10'!$S$10)</f>
        <v>1.0244000312737926</v>
      </c>
      <c r="N34" s="121">
        <f>GEOMEAN('LDB-10'!$T$7:'LDB-10'!$T$10)</f>
        <v>1.008457003325433</v>
      </c>
    </row>
    <row r="35" spans="2:14" ht="12.75" customHeight="1" x14ac:dyDescent="0.2">
      <c r="B35" s="116" t="str">
        <f>'AI-10'!$B$11</f>
        <v>Campfire</v>
      </c>
      <c r="C35" s="117">
        <f>'RA-10'!$V$11</f>
        <v>-7.3831595335120959E-3</v>
      </c>
      <c r="D35" s="118">
        <f>'RA-10'!$W$11</f>
        <v>-1.0063564081814746E-2</v>
      </c>
      <c r="E35" s="119">
        <f>'RA-10'!$X$11</f>
        <v>-3.8884316496781146E-3</v>
      </c>
      <c r="F35" s="130">
        <f>GEOMEAN('RA-10'!$S$11:'RA-10'!$S$14)</f>
        <v>0.91471970662466717</v>
      </c>
      <c r="G35" s="121">
        <f>GEOMEAN('RA-10'!$T$11:'RA-10'!$T$14)</f>
        <v>1.0586581232771137</v>
      </c>
      <c r="I35" s="116" t="str">
        <f>'AI-10'!$B$11</f>
        <v>Campfire</v>
      </c>
      <c r="J35" s="117">
        <f>'LDB-10'!$V$11</f>
        <v>-6.492536969683993E-3</v>
      </c>
      <c r="K35" s="118">
        <f>'LDB-10'!$W$11</f>
        <v>-6.9661848211988175E-3</v>
      </c>
      <c r="L35" s="119">
        <f>'LDB-10'!$X$11</f>
        <v>-3.4741038786547662E-3</v>
      </c>
      <c r="M35" s="130">
        <f>GEOMEAN('LDB-10'!$S$11:'LDB-10'!$S$14)</f>
        <v>0.96796128026032136</v>
      </c>
      <c r="N35" s="121">
        <f>GEOMEAN('LDB-10'!$T$11:'LDB-10'!$T$14)</f>
        <v>1.036934021732633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-1.0737535431975198E-2</v>
      </c>
      <c r="D36" s="124">
        <f>'RA-10'!$W$15</f>
        <v>-4.6398408623703924E-2</v>
      </c>
      <c r="E36" s="125">
        <f>'RA-10'!$X$15</f>
        <v>1.844804644018927E-3</v>
      </c>
      <c r="F36" s="126">
        <f>GEOMEAN('RA-10'!$S$15:'RA-10'!$S$18)</f>
        <v>0.8539811135229185</v>
      </c>
      <c r="G36" s="127">
        <f>GEOMEAN('RA-10'!$T$15:'RA-10'!$T$18)</f>
        <v>1.0013600308321051</v>
      </c>
      <c r="I36" s="122" t="str">
        <f>'AI-10'!$B$15</f>
        <v>DaylightRoad2</v>
      </c>
      <c r="J36" s="123">
        <f>'LDB-10'!$V$15</f>
        <v>-1.1866761880164112E-2</v>
      </c>
      <c r="K36" s="124">
        <f>'LDB-10'!$W$15</f>
        <v>-3.7569100997044802E-2</v>
      </c>
      <c r="L36" s="125">
        <f>'LDB-10'!$X$15</f>
        <v>-1.4847142104836286E-2</v>
      </c>
      <c r="M36" s="126">
        <f>GEOMEAN('LDB-10'!$S$15:'LDB-10'!$S$18)</f>
        <v>0.94791388612420513</v>
      </c>
      <c r="N36" s="127">
        <f>GEOMEAN('LDB-10'!$T$15:'LDB-10'!$T$18)</f>
        <v>0.99535045564928837</v>
      </c>
    </row>
    <row r="37" spans="2:14" ht="12.75" customHeight="1" x14ac:dyDescent="0.2">
      <c r="B37" s="110" t="str">
        <f>'AI-10'!$B$19</f>
        <v>Cactus</v>
      </c>
      <c r="C37" s="111">
        <f>'RA-10'!$V$19</f>
        <v>-1.1405913504720089E-2</v>
      </c>
      <c r="D37" s="112">
        <f>'RA-10'!$W$19</f>
        <v>-2.8571826780989129E-2</v>
      </c>
      <c r="E37" s="113">
        <f>'RA-10'!$X$19</f>
        <v>-7.4413587889400334E-3</v>
      </c>
      <c r="F37" s="114">
        <f>GEOMEAN('RA-10'!$S$19:'RA-10'!$S$22)</f>
        <v>0.89488009343181552</v>
      </c>
      <c r="G37" s="115">
        <f>GEOMEAN('RA-10'!$T$19:'RA-10'!$T$22)</f>
        <v>1.0214637063338885</v>
      </c>
      <c r="I37" s="110" t="str">
        <f>'AI-10'!$B$19</f>
        <v>Cactus</v>
      </c>
      <c r="J37" s="111">
        <f>'LDB-10'!$V$19</f>
        <v>-1.6849838722288957E-2</v>
      </c>
      <c r="K37" s="112">
        <f>'LDB-10'!$W$19</f>
        <v>-3.1049076720084723E-2</v>
      </c>
      <c r="L37" s="113">
        <f>'LDB-10'!$X$19</f>
        <v>-1.7183779991699955E-2</v>
      </c>
      <c r="M37" s="114">
        <f>GEOMEAN('LDB-10'!$S$19:'LDB-10'!$S$22)</f>
        <v>0.98102357887254277</v>
      </c>
      <c r="N37" s="115">
        <f>GEOMEAN('LDB-10'!$T$19:'LDB-10'!$T$22)</f>
        <v>1.0392380601325812</v>
      </c>
    </row>
    <row r="38" spans="2:14" ht="12.75" customHeight="1" x14ac:dyDescent="0.2">
      <c r="B38" s="116" t="str">
        <f>'AI-10'!$B$23</f>
        <v>BasketballDrive</v>
      </c>
      <c r="C38" s="117">
        <f>'RA-10'!$V$23</f>
        <v>-8.6713567855228879E-3</v>
      </c>
      <c r="D38" s="118">
        <f>'RA-10'!$W$23</f>
        <v>-2.4635184432024726E-2</v>
      </c>
      <c r="E38" s="119">
        <f>'RA-10'!$X$23</f>
        <v>-1.0978902984222216E-2</v>
      </c>
      <c r="F38" s="120">
        <f>GEOMEAN('RA-10'!$S$23:'RA-10'!$S$26)</f>
        <v>0.88981762854211366</v>
      </c>
      <c r="G38" s="121">
        <f>GEOMEAN('RA-10'!$T$23:'RA-10'!$T$26)</f>
        <v>1.0117287135569701</v>
      </c>
      <c r="I38" s="116" t="str">
        <f>'AI-10'!$B$23</f>
        <v>BasketballDrive</v>
      </c>
      <c r="J38" s="117">
        <f>'LDB-10'!$V$23</f>
        <v>-1.2321197910160064E-2</v>
      </c>
      <c r="K38" s="118">
        <f>'LDB-10'!$W$23</f>
        <v>-3.119333251714218E-2</v>
      </c>
      <c r="L38" s="119">
        <f>'LDB-10'!$X$23</f>
        <v>-2.7288556100766082E-2</v>
      </c>
      <c r="M38" s="120">
        <f>GEOMEAN('LDB-10'!$S$23:'LDB-10'!$S$26)</f>
        <v>0.98640887781370712</v>
      </c>
      <c r="N38" s="121">
        <f>GEOMEAN('LDB-10'!$T$23:'LDB-10'!$T$26)</f>
        <v>1.0095478617188562</v>
      </c>
    </row>
    <row r="39" spans="2:14" ht="12.75" customHeight="1" x14ac:dyDescent="0.2">
      <c r="B39" s="116" t="str">
        <f>'AI-10'!$B$27</f>
        <v>MarketPlace</v>
      </c>
      <c r="C39" s="117">
        <f>'RA-10'!$V$27</f>
        <v>-8.0640215830491968E-3</v>
      </c>
      <c r="D39" s="118">
        <f>'RA-10'!$W$27</f>
        <v>-1.9521204180946494E-2</v>
      </c>
      <c r="E39" s="119">
        <f>'RA-10'!$X$27</f>
        <v>-2.1269651079195318E-2</v>
      </c>
      <c r="F39" s="120">
        <f>GEOMEAN('RA-10'!$S$27:'RA-10'!$S$30)</f>
        <v>0.86212771321148463</v>
      </c>
      <c r="G39" s="121">
        <f>GEOMEAN('RA-10'!$T$27:'RA-10'!$T$30)</f>
        <v>1.0214822967749679</v>
      </c>
      <c r="I39" s="116" t="str">
        <f>'AI-10'!$B$27</f>
        <v>MarketPlace</v>
      </c>
      <c r="J39" s="117">
        <f>'LDB-10'!$V$27</f>
        <v>-1.1304082750276501E-2</v>
      </c>
      <c r="K39" s="118">
        <f>'LDB-10'!$W$27</f>
        <v>-1.7195670470039226E-2</v>
      </c>
      <c r="L39" s="119">
        <f>'LDB-10'!$X$27</f>
        <v>-2.3223855957353434E-2</v>
      </c>
      <c r="M39" s="120">
        <f>GEOMEAN('LDB-10'!$S$27:'LDB-10'!$S$30)</f>
        <v>0.94257912416283585</v>
      </c>
      <c r="N39" s="121">
        <f>GEOMEAN('LDB-10'!$T$27:'LDB-10'!$T$30)</f>
        <v>1.0170758055014464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-8.8436327712918539E-3</v>
      </c>
      <c r="D40" s="124">
        <f>'RA-10'!$W$31</f>
        <v>-1.8539941856519637E-2</v>
      </c>
      <c r="E40" s="125">
        <f>'RA-10'!$X$31</f>
        <v>-1.3601100923714027E-2</v>
      </c>
      <c r="F40" s="126">
        <f>GEOMEAN('RA-10'!$S$31:'RA-10'!$S$34)</f>
        <v>0.80808286722462408</v>
      </c>
      <c r="G40" s="127">
        <f>GEOMEAN('RA-10'!$T$31:'RA-10'!$T$34)</f>
        <v>1.0177677312303521</v>
      </c>
      <c r="I40" s="122" t="str">
        <f>'AI-10'!$B$31</f>
        <v>RitualDance</v>
      </c>
      <c r="J40" s="123">
        <f>'LDB-10'!$V$31</f>
        <v>-1.1476182035477511E-2</v>
      </c>
      <c r="K40" s="124">
        <f>'LDB-10'!$W$31</f>
        <v>-2.2512394028396776E-2</v>
      </c>
      <c r="L40" s="125">
        <f>'LDB-10'!$X$31</f>
        <v>-2.7600834234177696E-2</v>
      </c>
      <c r="M40" s="126">
        <f>GEOMEAN('LDB-10'!$S$31:'LDB-10'!$S$34)</f>
        <v>0.91013635383748404</v>
      </c>
      <c r="N40" s="127">
        <f>GEOMEAN('LDB-10'!$T$31:'LDB-10'!$T$34)</f>
        <v>1.0245426279559759</v>
      </c>
    </row>
    <row r="41" spans="2:14" ht="12.75" customHeight="1" x14ac:dyDescent="0.2">
      <c r="B41" s="110" t="str">
        <f>'AI-10'!$B$35</f>
        <v>City</v>
      </c>
      <c r="C41" s="111">
        <f>'RA-10'!$V$35</f>
        <v>-1.4613279502045717E-2</v>
      </c>
      <c r="D41" s="112">
        <f>'RA-10'!$W$35</f>
        <v>-1.8467344546696518E-3</v>
      </c>
      <c r="E41" s="113">
        <f>'RA-10'!$X$35</f>
        <v>-1.9769327747841681E-2</v>
      </c>
      <c r="F41" s="114">
        <f>GEOMEAN('RA-10'!$S$35:'RA-10'!$S$38)</f>
        <v>0.92977694414077849</v>
      </c>
      <c r="G41" s="115">
        <f>GEOMEAN('RA-10'!$T$35:'RA-10'!$T$38)</f>
        <v>0.99341443680785224</v>
      </c>
      <c r="I41" s="110" t="str">
        <f>'AI-10'!$B$35</f>
        <v>City</v>
      </c>
      <c r="J41" s="111">
        <f>'LDB-10'!$V$35</f>
        <v>-1.7718928508158704E-2</v>
      </c>
      <c r="K41" s="112">
        <f>'LDB-10'!$W$35</f>
        <v>-9.9357170516600757E-3</v>
      </c>
      <c r="L41" s="113">
        <f>'LDB-10'!$X$35</f>
        <v>-2.2647975956336275E-2</v>
      </c>
      <c r="M41" s="114">
        <f>GEOMEAN('LDB-10'!$S$35:'LDB-10'!$S$38)</f>
        <v>0.9927206320969445</v>
      </c>
      <c r="N41" s="115">
        <f>GEOMEAN('LDB-10'!$T$35:'LDB-10'!$T$38)</f>
        <v>1.0178981963180245</v>
      </c>
    </row>
    <row r="42" spans="2:14" ht="12.75" customHeight="1" x14ac:dyDescent="0.2">
      <c r="B42" s="116" t="str">
        <f>'AI-10'!$B$39</f>
        <v>Crew</v>
      </c>
      <c r="C42" s="117">
        <f>'RA-10'!$V$39</f>
        <v>-1.3282887842540281E-2</v>
      </c>
      <c r="D42" s="118">
        <f>'RA-10'!$W$39</f>
        <v>-4.4361666078637674E-2</v>
      </c>
      <c r="E42" s="119">
        <f>'RA-10'!$X$39</f>
        <v>-6.866292837921284E-3</v>
      </c>
      <c r="F42" s="120">
        <f>GEOMEAN('RA-10'!$S$39:'RA-10'!$S$42)</f>
        <v>0.85473087631809397</v>
      </c>
      <c r="G42" s="121">
        <f>GEOMEAN('RA-10'!$T$39:'RA-10'!$T$42)</f>
        <v>1.0101955223358969</v>
      </c>
      <c r="I42" s="116" t="str">
        <f>'AI-10'!$B$39</f>
        <v>Crew</v>
      </c>
      <c r="J42" s="117">
        <f>'LDB-10'!$V$39</f>
        <v>-1.258593804822461E-2</v>
      </c>
      <c r="K42" s="118">
        <f>'LDB-10'!$W$39</f>
        <v>-1.3775630501492997E-2</v>
      </c>
      <c r="L42" s="119">
        <f>'LDB-10'!$X$39</f>
        <v>-9.6932534345598453E-3</v>
      </c>
      <c r="M42" s="120">
        <f>GEOMEAN('LDB-10'!$S$39:'LDB-10'!$S$42)</f>
        <v>0.95321827022508754</v>
      </c>
      <c r="N42" s="121">
        <f>GEOMEAN('LDB-10'!$T$39:'LDB-10'!$T$42)</f>
        <v>1.0278127046933239</v>
      </c>
    </row>
    <row r="43" spans="2:14" ht="12.75" customHeight="1" x14ac:dyDescent="0.2">
      <c r="B43" s="116" t="str">
        <f>'AI-10'!$B$43</f>
        <v>vidyo1</v>
      </c>
      <c r="C43" s="117">
        <f>'RA-10'!$V$43</f>
        <v>-1.1086822438056365E-2</v>
      </c>
      <c r="D43" s="118">
        <f>'RA-10'!$W$43</f>
        <v>-3.2936773251012741E-2</v>
      </c>
      <c r="E43" s="119">
        <f>'RA-10'!$X$43</f>
        <v>-2.0768254569692113E-2</v>
      </c>
      <c r="F43" s="120">
        <f>GEOMEAN('RA-10'!$S$43:'RA-10'!$S$46)</f>
        <v>0.78922133932403915</v>
      </c>
      <c r="G43" s="121">
        <f>GEOMEAN('RA-10'!$T$43:'RA-10'!$T$46)</f>
        <v>1.0015859636655884</v>
      </c>
      <c r="I43" s="116" t="str">
        <f>'AI-10'!$B$43</f>
        <v>vidyo1</v>
      </c>
      <c r="J43" s="117">
        <f>'LDB-10'!$V$43</f>
        <v>-1.8078005319432489E-2</v>
      </c>
      <c r="K43" s="118">
        <f>'LDB-10'!$W$43</f>
        <v>-1.4247371579418133E-2</v>
      </c>
      <c r="L43" s="119">
        <f>'LDB-10'!$X$43</f>
        <v>-7.5262425745517003E-3</v>
      </c>
      <c r="M43" s="120">
        <f>GEOMEAN('LDB-10'!$S$43:'LDB-10'!$S$46)</f>
        <v>0.87427501361437743</v>
      </c>
      <c r="N43" s="121">
        <f>GEOMEAN('LDB-10'!$T$43:'LDB-10'!$T$46)</f>
        <v>1.0410983557899471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-1.4035060602621274E-2</v>
      </c>
      <c r="D44" s="124">
        <f>'RA-10'!$W$47</f>
        <v>-3.1537416686742703E-2</v>
      </c>
      <c r="E44" s="125">
        <f>'RA-10'!$X$47</f>
        <v>-1.6548138963562109E-2</v>
      </c>
      <c r="F44" s="126">
        <f>GEOMEAN('RA-10'!$S$47:'RA-10'!$S$50)</f>
        <v>0.83453901022487476</v>
      </c>
      <c r="G44" s="127">
        <f>GEOMEAN('RA-10'!$T$47:'RA-10'!$T$50)</f>
        <v>1.0004267611121413</v>
      </c>
      <c r="I44" s="122" t="str">
        <f>'AI-10'!$B$47</f>
        <v>vidyo3</v>
      </c>
      <c r="J44" s="123">
        <f>'LDB-10'!$V$47</f>
        <v>-3.3936197029682758E-2</v>
      </c>
      <c r="K44" s="124">
        <f>'LDB-10'!$W$47</f>
        <v>-3.4946375719421829E-2</v>
      </c>
      <c r="L44" s="125">
        <f>'LDB-10'!$X$47</f>
        <v>-2.7968133595253741E-2</v>
      </c>
      <c r="M44" s="126">
        <f>GEOMEAN('LDB-10'!$S$47:'LDB-10'!$S$50)</f>
        <v>0.90959729314291959</v>
      </c>
      <c r="N44" s="127">
        <f>GEOMEAN('LDB-10'!$T$47:'LDB-10'!$T$50)</f>
        <v>1.0392337356775154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>
        <f>'RA-10'!$V$59</f>
        <v>-0.20200523513941815</v>
      </c>
      <c r="D47" s="112">
        <f>'RA-10'!$W$59</f>
        <v>-0.15584280439392528</v>
      </c>
      <c r="E47" s="113">
        <f>'RA-10'!$X$59</f>
        <v>-0.15764292836296634</v>
      </c>
      <c r="F47" s="114">
        <f>GEOMEAN('RA-10'!$S$59:'RA-10'!$S$62)</f>
        <v>0.90549263603947738</v>
      </c>
      <c r="G47" s="115">
        <f>GEOMEAN('RA-10'!$T$59:'RA-10'!$T$62)</f>
        <v>0.95470997250622192</v>
      </c>
      <c r="I47" s="110" t="str">
        <f>'AI-10'!$B$59</f>
        <v>FlyingGraphics</v>
      </c>
      <c r="J47" s="111">
        <f>'LDB-10'!$V$59</f>
        <v>-0.21510750423537484</v>
      </c>
      <c r="K47" s="112">
        <f>'LDB-10'!$W$59</f>
        <v>-0.14560595123646181</v>
      </c>
      <c r="L47" s="113">
        <f>'LDB-10'!$X$59</f>
        <v>-0.14712642347678784</v>
      </c>
      <c r="M47" s="114">
        <f>GEOMEAN('LDB-10'!$S$59:'LDB-10'!$S$62)</f>
        <v>0.95772181720489247</v>
      </c>
      <c r="N47" s="115">
        <f>GEOMEAN('LDB-10'!$T$59:'LDB-10'!$T$62)</f>
        <v>0.98562296966194762</v>
      </c>
    </row>
    <row r="48" spans="2:14" ht="12.75" customHeight="1" x14ac:dyDescent="0.2">
      <c r="B48" s="116" t="str">
        <f>'AI-10'!$B$63</f>
        <v>Desktop</v>
      </c>
      <c r="C48" s="117">
        <f>'RA-10'!$V$63</f>
        <v>-0.39865885281801849</v>
      </c>
      <c r="D48" s="118">
        <f>'RA-10'!$W$63</f>
        <v>-0.29844063935404042</v>
      </c>
      <c r="E48" s="119">
        <f>'RA-10'!$X$63</f>
        <v>-0.29363520930727904</v>
      </c>
      <c r="F48" s="120">
        <f>GEOMEAN('RA-10'!$S$63:'RA-10'!$S$66)</f>
        <v>0.74591549377796174</v>
      </c>
      <c r="G48" s="121">
        <f>GEOMEAN('RA-10'!$T$63:'RA-10'!$T$66)</f>
        <v>0.86051191293447737</v>
      </c>
      <c r="I48" s="116" t="str">
        <f>'AI-10'!$B$63</f>
        <v>Desktop</v>
      </c>
      <c r="J48" s="117">
        <f>'LDB-10'!$V$63</f>
        <v>-0.38975091853926047</v>
      </c>
      <c r="K48" s="118">
        <f>'LDB-10'!$W$63</f>
        <v>-0.33094066102196107</v>
      </c>
      <c r="L48" s="119">
        <f>'LDB-10'!$X$63</f>
        <v>-0.32742220350635776</v>
      </c>
      <c r="M48" s="120">
        <f>GEOMEAN('LDB-10'!$S$63:'LDB-10'!$S$66)</f>
        <v>0.76491569183999597</v>
      </c>
      <c r="N48" s="121">
        <f>GEOMEAN('LDB-10'!$T$63:'LDB-10'!$T$66)</f>
        <v>0.9138070529550264</v>
      </c>
    </row>
    <row r="49" spans="2:14" ht="12.75" customHeight="1" x14ac:dyDescent="0.2">
      <c r="B49" s="116" t="str">
        <f>'AI-10'!$B$67</f>
        <v>ArenaOfValor</v>
      </c>
      <c r="C49" s="117">
        <f>'RA-10'!$V$67</f>
        <v>-2.3900992198474302E-2</v>
      </c>
      <c r="D49" s="118">
        <f>'RA-10'!$W$67</f>
        <v>-5.4315065427198106E-2</v>
      </c>
      <c r="E49" s="119">
        <f>'RA-10'!$X$67</f>
        <v>-2.130518256051861E-2</v>
      </c>
      <c r="F49" s="120">
        <f>GEOMEAN('RA-10'!$S$67:'RA-10'!$S$70)</f>
        <v>0.83674402866891717</v>
      </c>
      <c r="G49" s="121">
        <f>GEOMEAN('RA-10'!$T$67:'RA-10'!$T$70)</f>
        <v>0.97288759806436809</v>
      </c>
      <c r="I49" s="116" t="str">
        <f>'AI-10'!$B$67</f>
        <v>ArenaOfValor</v>
      </c>
      <c r="J49" s="117">
        <f>'LDB-10'!$V$67</f>
        <v>-2.6608085494390865E-2</v>
      </c>
      <c r="K49" s="118">
        <f>'LDB-10'!$W$67</f>
        <v>-4.46040687119722E-2</v>
      </c>
      <c r="L49" s="119">
        <f>'LDB-10'!$X$67</f>
        <v>-3.3245601152850024E-2</v>
      </c>
      <c r="M49" s="120">
        <f>GEOMEAN('LDB-10'!$S$67:'LDB-10'!$S$70)</f>
        <v>0.92561304340110628</v>
      </c>
      <c r="N49" s="121">
        <f>GEOMEAN('LDB-10'!$T$67:'LDB-10'!$T$70)</f>
        <v>1.0148242531100058</v>
      </c>
    </row>
    <row r="50" spans="2:14" ht="12.75" customHeight="1" thickBot="1" x14ac:dyDescent="0.25">
      <c r="B50" s="122" t="str">
        <f>'AI-10'!$B$71</f>
        <v>program_vidyo</v>
      </c>
      <c r="C50" s="123">
        <f>'RA-10'!$V$71</f>
        <v>-0.41387425041355075</v>
      </c>
      <c r="D50" s="124">
        <f>'RA-10'!$W$71</f>
        <v>-0.27948716541778496</v>
      </c>
      <c r="E50" s="125">
        <f>'RA-10'!$X$71</f>
        <v>-0.25596742581046239</v>
      </c>
      <c r="F50" s="126">
        <f>GEOMEAN('RA-10'!$S$71:'RA-10'!$S$74)</f>
        <v>0.57926607640135985</v>
      </c>
      <c r="G50" s="127">
        <f>GEOMEAN('RA-10'!$T$71:'RA-10'!$T$74)</f>
        <v>1.0515624963588777</v>
      </c>
      <c r="I50" s="122" t="str">
        <f>'AI-10'!$B$71</f>
        <v>program_vidyo</v>
      </c>
      <c r="J50" s="123">
        <f>'LDB-10'!$V$71</f>
        <v>-0.382117423048704</v>
      </c>
      <c r="K50" s="124">
        <f>'LDB-10'!$W$71</f>
        <v>-0.2625224927488623</v>
      </c>
      <c r="L50" s="125">
        <f>'LDB-10'!$X$71</f>
        <v>-0.24397882780018942</v>
      </c>
      <c r="M50" s="126">
        <f>GEOMEAN('LDB-10'!$S$71:'LDB-10'!$S$74)</f>
        <v>0.62020804304509269</v>
      </c>
      <c r="N50" s="127">
        <f>GEOMEAN('LDB-10'!$T$71:'LDB-10'!$T$74)</f>
        <v>0.9537722111853062</v>
      </c>
    </row>
    <row r="51" spans="2:14" ht="12.75" customHeight="1" x14ac:dyDescent="0.2">
      <c r="B51" s="132" t="s">
        <v>78</v>
      </c>
      <c r="C51" s="111">
        <f>'RA-10'!$V75</f>
        <v>-8.6834618337573999E-3</v>
      </c>
      <c r="D51" s="112">
        <f>'RA-10'!$W75</f>
        <v>-2.4406143536411545E-2</v>
      </c>
      <c r="E51" s="113">
        <f>'RA-10'!$X75</f>
        <v>-6.1887163080326935E-3</v>
      </c>
      <c r="F51" s="128">
        <f>'RA-10'!$S75</f>
        <v>0.86043548629759448</v>
      </c>
      <c r="G51" s="115">
        <f>'RA-10'!$T75</f>
        <v>1.0171323632850406</v>
      </c>
      <c r="I51" s="132" t="s">
        <v>78</v>
      </c>
      <c r="J51" s="111">
        <f>'LDB-10'!$V75</f>
        <v>-9.573013421147164E-3</v>
      </c>
      <c r="K51" s="112">
        <f>'LDB-10'!$W75</f>
        <v>-2.2280484795145716E-2</v>
      </c>
      <c r="L51" s="113">
        <f>'LDB-10'!$X75</f>
        <v>-1.5752448818569992E-2</v>
      </c>
      <c r="M51" s="128">
        <f>'LDB-10'!$S75</f>
        <v>0.9561267952458592</v>
      </c>
      <c r="N51" s="115">
        <f>'LDB-10'!$T75</f>
        <v>1.0110816272159338</v>
      </c>
    </row>
    <row r="52" spans="2:14" ht="12.75" customHeight="1" x14ac:dyDescent="0.2">
      <c r="B52" s="133" t="s">
        <v>79</v>
      </c>
      <c r="C52" s="117">
        <f>'RA-10'!$V76</f>
        <v>-9.2462311611460068E-3</v>
      </c>
      <c r="D52" s="118">
        <f>'RA-10'!$W76</f>
        <v>-2.2817039312619997E-2</v>
      </c>
      <c r="E52" s="119">
        <f>'RA-10'!$X76</f>
        <v>-1.3322753444017899E-2</v>
      </c>
      <c r="F52" s="130">
        <f>'RA-10'!$S76</f>
        <v>0.86302492632446948</v>
      </c>
      <c r="G52" s="121">
        <f>'RA-10'!$T76</f>
        <v>1.018102805992491</v>
      </c>
      <c r="I52" s="133" t="s">
        <v>79</v>
      </c>
      <c r="J52" s="117">
        <f>'LDB-10'!$V76</f>
        <v>-1.2987825354550758E-2</v>
      </c>
      <c r="K52" s="118">
        <f>'LDB-10'!$W76</f>
        <v>-2.5487618433915726E-2</v>
      </c>
      <c r="L52" s="119">
        <f>'LDB-10'!$X76</f>
        <v>-2.3824256570999292E-2</v>
      </c>
      <c r="M52" s="130">
        <f>'LDB-10'!$S76</f>
        <v>0.95453130072068726</v>
      </c>
      <c r="N52" s="121">
        <f>'LDB-10'!$T76</f>
        <v>1.0225424071221902</v>
      </c>
    </row>
    <row r="53" spans="2:14" ht="12.75" customHeight="1" thickBot="1" x14ac:dyDescent="0.25">
      <c r="B53" s="133" t="s">
        <v>51</v>
      </c>
      <c r="C53" s="117">
        <f>'RA-10'!$V77</f>
        <v>-1.3254512596315909E-2</v>
      </c>
      <c r="D53" s="118">
        <f>'RA-10'!$W77</f>
        <v>-2.7670647617765692E-2</v>
      </c>
      <c r="E53" s="119">
        <f>'RA-10'!$X77</f>
        <v>-1.5988003529754297E-2</v>
      </c>
      <c r="F53" s="130">
        <f>'RA-10'!$S77</f>
        <v>0.85057655305360447</v>
      </c>
      <c r="G53" s="121">
        <f>'RA-10'!$T77</f>
        <v>1.001387945387664</v>
      </c>
      <c r="I53" s="133" t="s">
        <v>80</v>
      </c>
      <c r="J53" s="117">
        <f>'LDB-10'!$V77</f>
        <v>-2.057976722637464E-2</v>
      </c>
      <c r="K53" s="118">
        <f>'LDB-10'!$W77</f>
        <v>-1.8226273712998259E-2</v>
      </c>
      <c r="L53" s="119">
        <f>'LDB-10'!$X77</f>
        <v>-1.695890139017539E-2</v>
      </c>
      <c r="M53" s="130">
        <f>'LDB-10'!$S77</f>
        <v>0.93138482549882096</v>
      </c>
      <c r="N53" s="121">
        <f>'LDB-10'!$T77</f>
        <v>1.0314681704941702</v>
      </c>
    </row>
    <row r="54" spans="2:14" ht="12.75" customHeight="1" thickBot="1" x14ac:dyDescent="0.25">
      <c r="B54" s="139" t="s">
        <v>37</v>
      </c>
      <c r="C54" s="138">
        <f>'RA-10'!$V80</f>
        <v>-1.0394735197073105E-2</v>
      </c>
      <c r="D54" s="137">
        <f>'RA-10'!$W80</f>
        <v>-2.4964610155599077E-2</v>
      </c>
      <c r="E54" s="136">
        <f>'RA-10'!$X80</f>
        <v>-1.1833157760601629E-2</v>
      </c>
      <c r="F54" s="135">
        <f>'RA-10'!$S80</f>
        <v>0.85799551933433726</v>
      </c>
      <c r="G54" s="134">
        <f>'RA-10'!$T80</f>
        <v>1.0121786104975001</v>
      </c>
      <c r="I54" s="139" t="s">
        <v>37</v>
      </c>
      <c r="J54" s="138">
        <f>'LDB-10'!$V80</f>
        <v>-1.4380202000690854E-2</v>
      </c>
      <c r="K54" s="137">
        <f>'LDB-10'!$W80</f>
        <v>-2.1998125647353234E-2</v>
      </c>
      <c r="L54" s="136">
        <f>'LDB-10'!$X80</f>
        <v>-1.884520225991489E-2</v>
      </c>
      <c r="M54" s="135">
        <f>'LDB-10'!$S80</f>
        <v>0.9472797944065432</v>
      </c>
      <c r="N54" s="134">
        <f>'LDB-10'!$T80</f>
        <v>1.0216632990191854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>
        <f>'RA-10'!$V79</f>
        <v>-0.25960983264236542</v>
      </c>
      <c r="D56" s="124">
        <f>'RA-10'!$W79</f>
        <v>-0.19702141864823719</v>
      </c>
      <c r="E56" s="125">
        <f>'RA-10'!$X79</f>
        <v>-0.1821376865103066</v>
      </c>
      <c r="F56" s="126">
        <f>'RA-10'!$S79</f>
        <v>0.7564170632186169</v>
      </c>
      <c r="G56" s="127">
        <f>'RA-10'!$T79</f>
        <v>0.95748400018982815</v>
      </c>
      <c r="I56" s="149" t="s">
        <v>373</v>
      </c>
      <c r="J56" s="123">
        <f>'LDB-10'!$V79</f>
        <v>-0.25339598282943254</v>
      </c>
      <c r="K56" s="124">
        <f>'LDB-10'!$W79</f>
        <v>-0.19591829342981434</v>
      </c>
      <c r="L56" s="125">
        <f>'LDB-10'!$X79</f>
        <v>-0.18794326398404626</v>
      </c>
      <c r="M56" s="126">
        <f>'LDB-10'!$S79</f>
        <v>0.80529490761507261</v>
      </c>
      <c r="N56" s="127">
        <f>'LDB-10'!$T79</f>
        <v>0.96627380457741296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J40"/>
  <sheetViews>
    <sheetView tabSelected="1" zoomScaleNormal="100" workbookViewId="0">
      <selection activeCell="B2" sqref="B2:G30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/>
      <c r="D3" s="146"/>
      <c r="E3" s="146"/>
      <c r="F3" s="146"/>
      <c r="G3" s="147"/>
      <c r="I3" s="28" t="s">
        <v>20</v>
      </c>
      <c r="J3" s="28" t="s">
        <v>390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-4.4021834727999698E-3</v>
      </c>
      <c r="D5" s="61">
        <f>'AI-10'!W75</f>
        <v>-1.6210977656137354E-2</v>
      </c>
      <c r="E5" s="62">
        <f>'AI-10'!X75</f>
        <v>8.8451258539457567E-3</v>
      </c>
      <c r="F5" s="63">
        <f>'AI-10'!S75</f>
        <v>1.1499584568129069</v>
      </c>
      <c r="G5" s="64">
        <f>'AI-10'!T75</f>
        <v>1.021873096332705</v>
      </c>
      <c r="H5" s="25"/>
      <c r="J5" s="28"/>
    </row>
    <row r="6" spans="2:10" ht="12.75" customHeight="1" x14ac:dyDescent="0.2">
      <c r="B6" s="94" t="s">
        <v>91</v>
      </c>
      <c r="C6" s="65">
        <f>'AI-10'!V76</f>
        <v>-4.8611946025187425E-3</v>
      </c>
      <c r="D6" s="66">
        <f>'AI-10'!W76</f>
        <v>-1.7808773986845328E-2</v>
      </c>
      <c r="E6" s="67">
        <f>'AI-10'!X76</f>
        <v>-3.959291902953882E-3</v>
      </c>
      <c r="F6" s="68">
        <f>'AI-10'!S76</f>
        <v>1.1741346904603218</v>
      </c>
      <c r="G6" s="69">
        <f>'AI-10'!T76</f>
        <v>1.0244106018796482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-5.3626694338518854E-3</v>
      </c>
      <c r="D7" s="66">
        <f>'AI-10'!W77</f>
        <v>-1.6929730147339866E-2</v>
      </c>
      <c r="E7" s="67">
        <f>'AI-10'!X77</f>
        <v>-7.7968386920262978E-3</v>
      </c>
      <c r="F7" s="68">
        <f>'AI-10'!S77</f>
        <v>1.1719533172733327</v>
      </c>
      <c r="G7" s="69">
        <f>'AI-10'!T77</f>
        <v>1.0243709460866277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-4.8753491697235323E-3</v>
      </c>
      <c r="D8" s="61">
        <f>'AI-10'!W80</f>
        <v>-1.6983160596774183E-2</v>
      </c>
      <c r="E8" s="61">
        <f>'AI-10'!X80</f>
        <v>-9.7033491367814106E-4</v>
      </c>
      <c r="F8" s="100">
        <f>'AI-10'!S80</f>
        <v>1.1652974459562275</v>
      </c>
      <c r="G8" s="101">
        <f>'AI-10'!T80</f>
        <v>1.0235508595008591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>
        <f>'AI-10'!V79</f>
        <v>-0.24320809410994229</v>
      </c>
      <c r="D10" s="97">
        <f>'AI-10'!W79</f>
        <v>-0.16175342459148767</v>
      </c>
      <c r="E10" s="98">
        <f>'AI-10'!X79</f>
        <v>-0.14999844198676976</v>
      </c>
      <c r="F10" s="100">
        <f>'AI-10'!S79</f>
        <v>0.97229840025115</v>
      </c>
      <c r="G10" s="101">
        <f>'AI-10'!T79</f>
        <v>0.95337604910303564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/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-8.6834618337573999E-3</v>
      </c>
      <c r="D15" s="61">
        <f>'RA-10'!W75</f>
        <v>-2.4406143536411545E-2</v>
      </c>
      <c r="E15" s="62">
        <f>'RA-10'!X75</f>
        <v>-6.1887163080326935E-3</v>
      </c>
      <c r="F15" s="63">
        <f>'RA-10'!S75</f>
        <v>0.86043548629759448</v>
      </c>
      <c r="G15" s="64">
        <f>'RA-10'!T75</f>
        <v>1.0171323632850406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-9.2462311611460068E-3</v>
      </c>
      <c r="D16" s="66">
        <f>'RA-10'!W76</f>
        <v>-2.2817039312619997E-2</v>
      </c>
      <c r="E16" s="67">
        <f>'RA-10'!X76</f>
        <v>-1.3322753444017899E-2</v>
      </c>
      <c r="F16" s="68">
        <f>'RA-10'!S76</f>
        <v>0.86302492632446948</v>
      </c>
      <c r="G16" s="69">
        <f>'RA-10'!T76</f>
        <v>1.018102805992491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-1.3254512596315909E-2</v>
      </c>
      <c r="D17" s="66">
        <f>'RA-10'!W77</f>
        <v>-2.7670647617765692E-2</v>
      </c>
      <c r="E17" s="67">
        <f>'RA-10'!X77</f>
        <v>-1.5988003529754297E-2</v>
      </c>
      <c r="F17" s="68">
        <f>'RA-10'!S77</f>
        <v>0.85057655305360447</v>
      </c>
      <c r="G17" s="69">
        <f>'RA-10'!T77</f>
        <v>1.001387945387664</v>
      </c>
      <c r="H17" s="25"/>
    </row>
    <row r="18" spans="2:9" ht="12.75" customHeight="1" thickBot="1" x14ac:dyDescent="0.25">
      <c r="B18" s="81" t="s">
        <v>37</v>
      </c>
      <c r="C18" s="60">
        <f>'RA-10'!V80</f>
        <v>-1.0394735197073105E-2</v>
      </c>
      <c r="D18" s="61">
        <f>'RA-10'!W80</f>
        <v>-2.4964610155599077E-2</v>
      </c>
      <c r="E18" s="61">
        <f>'RA-10'!X80</f>
        <v>-1.1833157760601629E-2</v>
      </c>
      <c r="F18" s="100">
        <f>'RA-10'!S80</f>
        <v>0.85799551933433726</v>
      </c>
      <c r="G18" s="101">
        <f>'RA-10'!T80</f>
        <v>1.0121786104975001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>
        <f>'RA-10'!V79</f>
        <v>-0.25960983264236542</v>
      </c>
      <c r="D20" s="97">
        <f>'RA-10'!W79</f>
        <v>-0.19702141864823719</v>
      </c>
      <c r="E20" s="98">
        <f>'RA-10'!X79</f>
        <v>-0.1821376865103066</v>
      </c>
      <c r="F20" s="100">
        <f>'RA-10'!S79</f>
        <v>0.7564170632186169</v>
      </c>
      <c r="G20" s="101">
        <f>'RA-10'!T79</f>
        <v>0.95748400018982815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HPM6.0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-9.573013421147164E-3</v>
      </c>
      <c r="D25" s="61">
        <f>'LDB-10'!W75</f>
        <v>-2.2280484795145716E-2</v>
      </c>
      <c r="E25" s="62">
        <f>'LDB-10'!X75</f>
        <v>-1.5752448818569992E-2</v>
      </c>
      <c r="F25" s="63">
        <f>'LDB-10'!S75</f>
        <v>0.9561267952458592</v>
      </c>
      <c r="G25" s="64">
        <f>'LDB-10'!T75</f>
        <v>1.0110816272159338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-1.2987825354550758E-2</v>
      </c>
      <c r="D26" s="66">
        <f>'LDB-10'!W76</f>
        <v>-2.5487618433915726E-2</v>
      </c>
      <c r="E26" s="67">
        <f>'LDB-10'!X76</f>
        <v>-2.3824256570999292E-2</v>
      </c>
      <c r="F26" s="68">
        <f>'LDB-10'!S76</f>
        <v>0.95453130072068726</v>
      </c>
      <c r="G26" s="69">
        <f>'LDB-10'!T76</f>
        <v>1.0225424071221902</v>
      </c>
      <c r="H26" s="25"/>
    </row>
    <row r="27" spans="2:9" ht="12.75" customHeight="1" thickBot="1" x14ac:dyDescent="0.25">
      <c r="B27" s="95" t="s">
        <v>93</v>
      </c>
      <c r="C27" s="65">
        <f>'LDB-10'!V77</f>
        <v>-2.057976722637464E-2</v>
      </c>
      <c r="D27" s="66">
        <f>'LDB-10'!W77</f>
        <v>-1.8226273712998259E-2</v>
      </c>
      <c r="E27" s="67">
        <f>'LDB-10'!X77</f>
        <v>-1.695890139017539E-2</v>
      </c>
      <c r="F27" s="68">
        <f>'LDB-10'!S77</f>
        <v>0.93138482549882096</v>
      </c>
      <c r="G27" s="69">
        <f>'LDB-10'!T77</f>
        <v>1.0314681704941702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-1.4380202000690854E-2</v>
      </c>
      <c r="D28" s="61">
        <f>'LDB-10'!W80</f>
        <v>-2.1998125647353234E-2</v>
      </c>
      <c r="E28" s="61">
        <f>'LDB-10'!X80</f>
        <v>-1.884520225991489E-2</v>
      </c>
      <c r="F28" s="100">
        <f>'LDB-10'!S80</f>
        <v>0.9472797944065432</v>
      </c>
      <c r="G28" s="101">
        <f>'LDB-10'!T80</f>
        <v>1.0216632990191854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>
        <f>'LDB-10'!V79</f>
        <v>-0.25339598282943254</v>
      </c>
      <c r="D30" s="97">
        <f>'LDB-10'!W79</f>
        <v>-0.19591829342981434</v>
      </c>
      <c r="E30" s="98">
        <f>'LDB-10'!X79</f>
        <v>-0.18794326398404626</v>
      </c>
      <c r="F30" s="100">
        <f>'LDB-10'!S79</f>
        <v>0.80529490761507261</v>
      </c>
      <c r="G30" s="101">
        <f>'LDB-10'!T79</f>
        <v>0.96627380457741296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HPM6.0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9199.3520000000008</v>
      </c>
      <c r="AE3">
        <f ca="1">INDIRECT("'"&amp;$A$2&amp;"'!"&amp;ADDRESS($AC3,5))</f>
        <v>41.379300000000001</v>
      </c>
      <c r="AF3">
        <f ca="1">INDIRECT("'"&amp;$A$2&amp;"'!"&amp;ADDRESS($AC3,6))</f>
        <v>43.576999999999998</v>
      </c>
      <c r="AG3">
        <f ca="1">INDIRECT("'"&amp;$A$2&amp;"'!"&amp;ADDRESS($AC3,7))</f>
        <v>44.043999999999997</v>
      </c>
      <c r="AI3">
        <f ca="1">INDIRECT("'"&amp;$A$2&amp;"'!"&amp;ADDRESS($AC3,12))</f>
        <v>9018.0759999999991</v>
      </c>
      <c r="AJ3">
        <f ca="1">INDIRECT("'"&amp;$A$2&amp;"'!"&amp;ADDRESS($AC3,13))</f>
        <v>41.404899999999998</v>
      </c>
      <c r="AK3">
        <f ca="1">INDIRECT("'"&amp;$A$2&amp;"'!"&amp;ADDRESS($AC3,14))</f>
        <v>43.662599999999998</v>
      </c>
      <c r="AL3">
        <f ca="1">INDIRECT("'"&amp;$A$2&amp;"'!"&amp;ADDRESS($AC3,15))</f>
        <v>44.04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4951.32</v>
      </c>
      <c r="AE4">
        <f ca="1">INDIRECT("'"&amp;$A$2&amp;"'!"&amp;ADDRESS($AC4,5))</f>
        <v>39.086100000000002</v>
      </c>
      <c r="AF4">
        <f ca="1">INDIRECT("'"&amp;$A$2&amp;"'!"&amp;ADDRESS($AC4,6))</f>
        <v>41.796199999999999</v>
      </c>
      <c r="AG4">
        <f ca="1">INDIRECT("'"&amp;$A$2&amp;"'!"&amp;ADDRESS($AC4,7))</f>
        <v>42.137500000000003</v>
      </c>
      <c r="AI4">
        <f ca="1">INDIRECT("'"&amp;$A$2&amp;"'!"&amp;ADDRESS($AC4,12))</f>
        <v>4852.3119999999999</v>
      </c>
      <c r="AJ4">
        <f ca="1">INDIRECT("'"&amp;$A$2&amp;"'!"&amp;ADDRESS($AC4,13))</f>
        <v>39.112499999999997</v>
      </c>
      <c r="AK4">
        <f ca="1">INDIRECT("'"&amp;$A$2&amp;"'!"&amp;ADDRESS($AC4,14))</f>
        <v>41.9193</v>
      </c>
      <c r="AL4">
        <f ca="1">INDIRECT("'"&amp;$A$2&amp;"'!"&amp;ADDRESS($AC4,15))</f>
        <v>42.133099999999999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2457.2600000000002</v>
      </c>
      <c r="AE5">
        <f ca="1">INDIRECT("'"&amp;$A$2&amp;"'!"&amp;ADDRESS($AC5,5))</f>
        <v>36.537100000000002</v>
      </c>
      <c r="AF5">
        <f ca="1">INDIRECT("'"&amp;$A$2&amp;"'!"&amp;ADDRESS($AC5,6))</f>
        <v>39.892000000000003</v>
      </c>
      <c r="AG5">
        <f ca="1">INDIRECT("'"&amp;$A$2&amp;"'!"&amp;ADDRESS($AC5,7))</f>
        <v>40.063400000000001</v>
      </c>
      <c r="AI5">
        <f ca="1">INDIRECT("'"&amp;$A$2&amp;"'!"&amp;ADDRESS($AC5,12))</f>
        <v>2417.8560000000002</v>
      </c>
      <c r="AJ5">
        <f ca="1">INDIRECT("'"&amp;$A$2&amp;"'!"&amp;ADDRESS($AC5,13))</f>
        <v>36.566699999999997</v>
      </c>
      <c r="AK5">
        <f ca="1">INDIRECT("'"&amp;$A$2&amp;"'!"&amp;ADDRESS($AC5,14))</f>
        <v>40.004300000000001</v>
      </c>
      <c r="AL5">
        <f ca="1">INDIRECT("'"&amp;$A$2&amp;"'!"&amp;ADDRESS($AC5,15))</f>
        <v>40.099499999999999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1142.056</v>
      </c>
      <c r="AE6">
        <f ca="1">INDIRECT("'"&amp;$A$2&amp;"'!"&amp;ADDRESS($AC6,5))</f>
        <v>33.718299999999999</v>
      </c>
      <c r="AF6">
        <f ca="1">INDIRECT("'"&amp;$A$2&amp;"'!"&amp;ADDRESS($AC6,6))</f>
        <v>37.679000000000002</v>
      </c>
      <c r="AG6">
        <f ca="1">INDIRECT("'"&amp;$A$2&amp;"'!"&amp;ADDRESS($AC6,7))</f>
        <v>37.6995</v>
      </c>
      <c r="AI6">
        <f ca="1">INDIRECT("'"&amp;$A$2&amp;"'!"&amp;ADDRESS($AC6,12))</f>
        <v>1134.7719999999999</v>
      </c>
      <c r="AJ6">
        <f ca="1">INDIRECT("'"&amp;$A$2&amp;"'!"&amp;ADDRESS($AC6,13))</f>
        <v>33.747</v>
      </c>
      <c r="AK6">
        <f ca="1">INDIRECT("'"&amp;$A$2&amp;"'!"&amp;ADDRESS($AC6,14))</f>
        <v>37.774999999999999</v>
      </c>
      <c r="AL6">
        <f ca="1">INDIRECT("'"&amp;$A$2&amp;"'!"&amp;ADDRESS($AC6,15))</f>
        <v>37.715699999999998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9199.3520000000008</v>
      </c>
      <c r="AE12" s="31">
        <f ca="1">MAX(AE3:AE6,AJ3:AJ6, AO3:AO6)</f>
        <v>41.404899999999998</v>
      </c>
      <c r="AF12" s="31">
        <f ca="1">MAX(AF3:AF6,AK3:AK6, AP3:AP6)</f>
        <v>43.662599999999998</v>
      </c>
      <c r="AG12" s="31">
        <f ca="1">MAX(AG3:AG6,AL3:AL6, AQ3:AQ6)</f>
        <v>44.043999999999997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10000</v>
      </c>
      <c r="AE15" s="33">
        <f ca="1">CEILING(AE12+0.25,0.5)</f>
        <v>42</v>
      </c>
      <c r="AF15" s="33">
        <f ca="1">CEILING(AF12+0.25,0.5)</f>
        <v>44</v>
      </c>
      <c r="AG15" s="33">
        <f ca="1">CEILING(AG12+0.25,0.5)</f>
        <v>44.5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83"/>
  <sheetViews>
    <sheetView topLeftCell="A19" zoomScale="85" zoomScaleNormal="85" workbookViewId="0">
      <selection activeCell="L59" sqref="L5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79057.608600000007</v>
      </c>
      <c r="E3" s="13">
        <f>Reference!C1</f>
        <v>40.813899999999997</v>
      </c>
      <c r="F3" s="13">
        <f>Reference!D1</f>
        <v>49.1158</v>
      </c>
      <c r="G3" s="13">
        <f>Reference!E1</f>
        <v>47.688699999999997</v>
      </c>
      <c r="H3" s="13">
        <f>Reference!F1</f>
        <v>92770.608999999997</v>
      </c>
      <c r="I3" s="13">
        <f>Reference!G1</f>
        <v>31.655000000000001</v>
      </c>
      <c r="J3" s="14">
        <f>H3/3600</f>
        <v>25.769613611111112</v>
      </c>
      <c r="L3" s="12">
        <f>Test!B1</f>
        <v>77468.639999999999</v>
      </c>
      <c r="M3" s="13">
        <f>Test!C1</f>
        <v>40.793700000000001</v>
      </c>
      <c r="N3" s="13">
        <f>Test!D1</f>
        <v>49.146700000000003</v>
      </c>
      <c r="O3" s="13">
        <f>Test!E1</f>
        <v>47.661900000000003</v>
      </c>
      <c r="P3" s="13">
        <f>Test!F1</f>
        <v>112277.25</v>
      </c>
      <c r="Q3" s="13">
        <f>Test!G1</f>
        <v>32.164000000000001</v>
      </c>
      <c r="R3" s="13">
        <f>P3/3600</f>
        <v>31.188124999999999</v>
      </c>
      <c r="S3" s="12">
        <f>P3/H3</f>
        <v>1.2102674673613494</v>
      </c>
      <c r="T3" s="13">
        <f>Q3/I3</f>
        <v>1.0160796082767336</v>
      </c>
      <c r="U3" s="90"/>
      <c r="V3" s="42">
        <f>bdrate($D3:$D6,E3:E6,$L3:$L6,M3:M6)</f>
        <v>-3.4311981380594769E-3</v>
      </c>
      <c r="W3" s="42">
        <f>bdrate($D3:$D6,F3:F6,$L3:$L6,N3:N6)</f>
        <v>-2.2118146885825474E-2</v>
      </c>
      <c r="X3" s="43">
        <f>bdrate($D3:$D6,G3:G6,$L3:$L6,O3:O6)</f>
        <v>4.2308474850036859E-3</v>
      </c>
      <c r="Y3" s="37">
        <f>bdrateOld($D3:$D6,E3:E6,$L3:$L6,M3:M6)</f>
        <v>-3.1141652930528618E-3</v>
      </c>
      <c r="Z3" s="42">
        <f>bdrateOld($D3:$D6,F3:F6,$L3:$L6,N3:N6)</f>
        <v>-2.3215406599083499E-2</v>
      </c>
      <c r="AA3" s="43">
        <f>bdrateOld($D3:$D6,G3:G6,$L3:$L6,O3:O6)</f>
        <v>3.7993115790877496E-3</v>
      </c>
    </row>
    <row r="4" spans="1:27" x14ac:dyDescent="0.2">
      <c r="A4" s="16" t="s">
        <v>34</v>
      </c>
      <c r="B4" s="85"/>
      <c r="C4" s="16">
        <v>48</v>
      </c>
      <c r="D4" s="17">
        <f>Reference!B2</f>
        <v>42127.835700000003</v>
      </c>
      <c r="E4" s="18">
        <f>Reference!C2</f>
        <v>40.1464</v>
      </c>
      <c r="F4" s="18">
        <f>Reference!D2</f>
        <v>48.309899999999999</v>
      </c>
      <c r="G4" s="18">
        <f>Reference!E2</f>
        <v>46.5565</v>
      </c>
      <c r="H4" s="18">
        <f>Reference!F2</f>
        <v>54813.023000000001</v>
      </c>
      <c r="I4" s="18">
        <f>Reference!G2</f>
        <v>28.9</v>
      </c>
      <c r="J4" s="19">
        <f t="shared" ref="J4:J14" si="0">H4/3600</f>
        <v>15.225839722222222</v>
      </c>
      <c r="L4" s="17">
        <f>Test!B2</f>
        <v>41971.342700000001</v>
      </c>
      <c r="M4" s="18">
        <f>Test!C2</f>
        <v>40.147100000000002</v>
      </c>
      <c r="N4" s="18">
        <f>Test!D2</f>
        <v>48.341500000000003</v>
      </c>
      <c r="O4" s="18">
        <f>Test!E2</f>
        <v>46.534700000000001</v>
      </c>
      <c r="P4" s="18">
        <f>Test!F2</f>
        <v>61780.457000000002</v>
      </c>
      <c r="Q4" s="18">
        <f>Test!G2</f>
        <v>29.274000000000001</v>
      </c>
      <c r="R4" s="18">
        <f t="shared" ref="R4:R14" si="1">P4/3600</f>
        <v>17.161238055555557</v>
      </c>
      <c r="S4" s="17">
        <f t="shared" ref="S4:T14" si="2">P4/H4</f>
        <v>1.1271127483700361</v>
      </c>
      <c r="T4" s="18">
        <f t="shared" si="2"/>
        <v>1.0129411764705882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25149.2886</v>
      </c>
      <c r="E5" s="18">
        <f>Reference!C3</f>
        <v>39.408900000000003</v>
      </c>
      <c r="F5" s="18">
        <f>Reference!D3</f>
        <v>47.293300000000002</v>
      </c>
      <c r="G5" s="18">
        <f>Reference!E3</f>
        <v>45.242800000000003</v>
      </c>
      <c r="H5" s="18">
        <f>Reference!F3</f>
        <v>35509.108999999997</v>
      </c>
      <c r="I5" s="18">
        <f>Reference!G3</f>
        <v>26.914000000000001</v>
      </c>
      <c r="J5" s="19">
        <f t="shared" si="0"/>
        <v>9.8636413888888885</v>
      </c>
      <c r="L5" s="17">
        <f>Test!B3</f>
        <v>25114.884300000002</v>
      </c>
      <c r="M5" s="18">
        <f>Test!C3</f>
        <v>39.413200000000003</v>
      </c>
      <c r="N5" s="18">
        <f>Test!D3</f>
        <v>47.335000000000001</v>
      </c>
      <c r="O5" s="18">
        <f>Test!E3</f>
        <v>45.221299999999999</v>
      </c>
      <c r="P5" s="18">
        <f>Test!F3</f>
        <v>36580.046999999999</v>
      </c>
      <c r="Q5" s="18">
        <f>Test!G3</f>
        <v>27.303999999999998</v>
      </c>
      <c r="R5" s="18">
        <f t="shared" si="1"/>
        <v>10.161124166666667</v>
      </c>
      <c r="S5" s="17">
        <f t="shared" si="2"/>
        <v>1.0301595289253809</v>
      </c>
      <c r="T5" s="18">
        <f t="shared" si="2"/>
        <v>1.0144905996878946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14266.4692</v>
      </c>
      <c r="E6" s="23">
        <f>Reference!C4</f>
        <v>38.162100000000002</v>
      </c>
      <c r="F6" s="23">
        <f>Reference!D4</f>
        <v>45.755899999999997</v>
      </c>
      <c r="G6" s="23">
        <f>Reference!E4</f>
        <v>43.387099999999997</v>
      </c>
      <c r="H6" s="23">
        <f>Reference!F4</f>
        <v>21183.937999999998</v>
      </c>
      <c r="I6" s="23">
        <f>Reference!G4</f>
        <v>24.114999999999998</v>
      </c>
      <c r="J6" s="24">
        <f t="shared" si="0"/>
        <v>5.8844272222222216</v>
      </c>
      <c r="L6" s="22">
        <f>Test!B4</f>
        <v>14298.7978</v>
      </c>
      <c r="M6" s="23">
        <f>Test!C4</f>
        <v>38.179000000000002</v>
      </c>
      <c r="N6" s="23">
        <f>Test!D4</f>
        <v>45.811900000000001</v>
      </c>
      <c r="O6" s="23">
        <f>Test!E4</f>
        <v>43.398099999999999</v>
      </c>
      <c r="P6" s="23">
        <f>Test!F4</f>
        <v>20095.687999999998</v>
      </c>
      <c r="Q6" s="23">
        <f>Test!G4</f>
        <v>24.143000000000001</v>
      </c>
      <c r="R6" s="23">
        <f t="shared" si="1"/>
        <v>5.5821355555555554</v>
      </c>
      <c r="S6" s="17">
        <f t="shared" si="2"/>
        <v>0.9486285316733839</v>
      </c>
      <c r="T6" s="18">
        <f t="shared" si="2"/>
        <v>1.0011611030478955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330683.69469999999</v>
      </c>
      <c r="E7" s="13">
        <f>Reference!C5</f>
        <v>44.643999999999998</v>
      </c>
      <c r="F7" s="13">
        <f>Reference!D5</f>
        <v>38.938899999999997</v>
      </c>
      <c r="G7" s="13">
        <f>Reference!E5</f>
        <v>39.587400000000002</v>
      </c>
      <c r="H7" s="13">
        <f>Reference!F5</f>
        <v>128972.18799999999</v>
      </c>
      <c r="I7" s="13">
        <f>Reference!G5</f>
        <v>45.073999999999998</v>
      </c>
      <c r="J7" s="14">
        <f t="shared" si="0"/>
        <v>35.825607777777776</v>
      </c>
      <c r="L7" s="12">
        <f>Test!B5</f>
        <v>328479.86320000002</v>
      </c>
      <c r="M7" s="13">
        <f>Test!C5</f>
        <v>44.629600000000003</v>
      </c>
      <c r="N7" s="13">
        <f>Test!D5</f>
        <v>38.904499999999999</v>
      </c>
      <c r="O7" s="13">
        <f>Test!E5</f>
        <v>39.524799999999999</v>
      </c>
      <c r="P7" s="13">
        <f>Test!F5</f>
        <v>165763.71900000001</v>
      </c>
      <c r="Q7" s="13">
        <f>Test!G5</f>
        <v>47.335000000000001</v>
      </c>
      <c r="R7" s="13">
        <f t="shared" si="1"/>
        <v>46.045477500000004</v>
      </c>
      <c r="S7" s="17">
        <f t="shared" si="2"/>
        <v>1.2852671693838367</v>
      </c>
      <c r="T7" s="18">
        <f t="shared" si="2"/>
        <v>1.0501619558947508</v>
      </c>
      <c r="U7" s="91"/>
      <c r="V7" s="42">
        <f>bdrate($D7:$D10,E7:E10,$L7:$L10,M7:M10)</f>
        <v>-5.5680765469768856E-3</v>
      </c>
      <c r="W7" s="42">
        <f>bdrate($D7:$D10,F7:F10,$L7:$L10,N7:N10)</f>
        <v>-9.2906298668238296E-4</v>
      </c>
      <c r="X7" s="42">
        <f>bdrate($D7:$D10,G7:G10,$L7:$L10,O7:O10)</f>
        <v>3.9360517799122974E-3</v>
      </c>
      <c r="Y7" s="40">
        <f>bdrateOld($D7:$D10,E7:E10,$L7:$L10,M7:M10)</f>
        <v>-5.5884684757110392E-3</v>
      </c>
      <c r="Z7" s="44">
        <f>bdrateOld($D7:$D10,F7:F10,$L7:$L10,N7:N10)</f>
        <v>-9.5128546061507002E-4</v>
      </c>
      <c r="AA7" s="45">
        <f>bdrateOld($D7:$D10,G7:G10,$L7:$L10,O7:O10)</f>
        <v>3.8066115920933896E-3</v>
      </c>
    </row>
    <row r="8" spans="1:27" x14ac:dyDescent="0.2">
      <c r="A8" s="16"/>
      <c r="B8" s="85"/>
      <c r="C8" s="16">
        <v>48</v>
      </c>
      <c r="D8" s="17">
        <f>Reference!B6</f>
        <v>211136.9368</v>
      </c>
      <c r="E8" s="18">
        <f>Reference!C6</f>
        <v>41.871099999999998</v>
      </c>
      <c r="F8" s="18">
        <f>Reference!D6</f>
        <v>36.337600000000002</v>
      </c>
      <c r="G8" s="18">
        <f>Reference!E6</f>
        <v>37.274099999999997</v>
      </c>
      <c r="H8" s="18">
        <f>Reference!F6</f>
        <v>106511.141</v>
      </c>
      <c r="I8" s="18">
        <f>Reference!G6</f>
        <v>40.768000000000001</v>
      </c>
      <c r="J8" s="19">
        <f t="shared" si="0"/>
        <v>29.586428055555558</v>
      </c>
      <c r="L8" s="17">
        <f>Test!B6</f>
        <v>209621.67370000001</v>
      </c>
      <c r="M8" s="18">
        <f>Test!C6</f>
        <v>41.862200000000001</v>
      </c>
      <c r="N8" s="18">
        <f>Test!D6</f>
        <v>36.310499999999998</v>
      </c>
      <c r="O8" s="18">
        <f>Test!E6</f>
        <v>37.2151</v>
      </c>
      <c r="P8" s="18">
        <f>Test!F6</f>
        <v>132020.43799999999</v>
      </c>
      <c r="Q8" s="18">
        <f>Test!G6</f>
        <v>41.918999999999997</v>
      </c>
      <c r="R8" s="18">
        <f t="shared" si="1"/>
        <v>36.672343888888889</v>
      </c>
      <c r="S8" s="17">
        <f t="shared" si="2"/>
        <v>1.239498861438354</v>
      </c>
      <c r="T8" s="18">
        <f t="shared" si="2"/>
        <v>1.0282329277864992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120394.1053</v>
      </c>
      <c r="E9" s="18">
        <f>Reference!C7</f>
        <v>38.621000000000002</v>
      </c>
      <c r="F9" s="18">
        <f>Reference!D7</f>
        <v>34.023499999999999</v>
      </c>
      <c r="G9" s="18">
        <f>Reference!E7</f>
        <v>35.170900000000003</v>
      </c>
      <c r="H9" s="18">
        <f>Reference!F7</f>
        <v>82238.976999999999</v>
      </c>
      <c r="I9" s="18">
        <f>Reference!G7</f>
        <v>35.951999999999998</v>
      </c>
      <c r="J9" s="19">
        <f t="shared" si="0"/>
        <v>22.844160277777778</v>
      </c>
      <c r="L9" s="17">
        <f>Test!B7</f>
        <v>119603.81050000001</v>
      </c>
      <c r="M9" s="18">
        <f>Test!C7</f>
        <v>38.618099999999998</v>
      </c>
      <c r="N9" s="18">
        <f>Test!D7</f>
        <v>33.999400000000001</v>
      </c>
      <c r="O9" s="18">
        <f>Test!E7</f>
        <v>35.127699999999997</v>
      </c>
      <c r="P9" s="18">
        <f>Test!F7</f>
        <v>98435</v>
      </c>
      <c r="Q9" s="18">
        <f>Test!G7</f>
        <v>37.033000000000001</v>
      </c>
      <c r="R9" s="18">
        <f t="shared" si="1"/>
        <v>27.343055555555555</v>
      </c>
      <c r="S9" s="17">
        <f t="shared" si="2"/>
        <v>1.1969385270928163</v>
      </c>
      <c r="T9" s="18">
        <f t="shared" si="2"/>
        <v>1.0300678682688029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56139.852599999998</v>
      </c>
      <c r="E10" s="23">
        <f>Reference!C8</f>
        <v>35.1357</v>
      </c>
      <c r="F10" s="23">
        <f>Reference!D8</f>
        <v>31.625</v>
      </c>
      <c r="G10" s="23">
        <f>Reference!E8</f>
        <v>33.049500000000002</v>
      </c>
      <c r="H10" s="23">
        <f>Reference!F8</f>
        <v>56308.781000000003</v>
      </c>
      <c r="I10" s="23">
        <f>Reference!G8</f>
        <v>30.027999999999999</v>
      </c>
      <c r="J10" s="24">
        <f t="shared" si="0"/>
        <v>15.641328055555556</v>
      </c>
      <c r="L10" s="22">
        <f>Test!B8</f>
        <v>56068.705300000001</v>
      </c>
      <c r="M10" s="23">
        <f>Test!C8</f>
        <v>35.150100000000002</v>
      </c>
      <c r="N10" s="23">
        <f>Test!D8</f>
        <v>31.624300000000002</v>
      </c>
      <c r="O10" s="23">
        <f>Test!E8</f>
        <v>33.076599999999999</v>
      </c>
      <c r="P10" s="23">
        <f>Test!F8</f>
        <v>64156.629000000001</v>
      </c>
      <c r="Q10" s="23">
        <f>Test!G8</f>
        <v>30.329000000000001</v>
      </c>
      <c r="R10" s="23">
        <f t="shared" si="1"/>
        <v>17.821285833333334</v>
      </c>
      <c r="S10" s="17">
        <f t="shared" si="2"/>
        <v>1.1393716550177138</v>
      </c>
      <c r="T10" s="18">
        <f t="shared" si="2"/>
        <v>1.0100239776208872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126144.1453</v>
      </c>
      <c r="E11" s="13">
        <f>Reference!C9</f>
        <v>41.503999999999998</v>
      </c>
      <c r="F11" s="13">
        <f>Reference!D9</f>
        <v>43.841099999999997</v>
      </c>
      <c r="G11" s="13">
        <f>Reference!E9</f>
        <v>42.913200000000003</v>
      </c>
      <c r="H11" s="13">
        <f>Reference!F9</f>
        <v>132194.766</v>
      </c>
      <c r="I11" s="13">
        <f>Reference!G9</f>
        <v>37.171999999999997</v>
      </c>
      <c r="J11" s="14">
        <f t="shared" si="0"/>
        <v>36.720768333333332</v>
      </c>
      <c r="L11" s="12">
        <f>Test!B9</f>
        <v>125895.8842</v>
      </c>
      <c r="M11" s="13">
        <f>Test!C9</f>
        <v>41.520800000000001</v>
      </c>
      <c r="N11" s="13">
        <f>Test!D9</f>
        <v>43.853200000000001</v>
      </c>
      <c r="O11" s="13">
        <f>Test!E9</f>
        <v>42.7712</v>
      </c>
      <c r="P11" s="13">
        <f>Test!F9</f>
        <v>167708.875</v>
      </c>
      <c r="Q11" s="13">
        <f>Test!G9</f>
        <v>39.686999999999998</v>
      </c>
      <c r="R11" s="13">
        <f t="shared" si="1"/>
        <v>46.585798611111109</v>
      </c>
      <c r="S11" s="17">
        <f t="shared" si="2"/>
        <v>1.2686498873941801</v>
      </c>
      <c r="T11" s="18">
        <f t="shared" si="2"/>
        <v>1.0676584525987303</v>
      </c>
      <c r="U11" s="91"/>
      <c r="V11" s="42">
        <f>bdrate($D11:$D14,E11:E14,$L11:$L14,M11:M14)</f>
        <v>-2.8382163612244993E-3</v>
      </c>
      <c r="W11" s="42">
        <f>bdrate($D11:$D14,F11:F14,$L11:$L14,N11:N14)</f>
        <v>-8.7734543745225935E-3</v>
      </c>
      <c r="X11" s="42">
        <f>bdrate($D11:$D14,G11:G14,$L11:$L14,O11:O14)</f>
        <v>1.6743207615137257E-2</v>
      </c>
      <c r="Y11" s="40">
        <f>bdrateOld($D11:$D14,E11:E14,$L11:$L14,M11:M14)</f>
        <v>-2.1671581439124399E-3</v>
      </c>
      <c r="Z11" s="44">
        <f>bdrateOld($D11:$D14,F11:F14,$L11:$L14,N11:N14)</f>
        <v>-8.7517898292940322E-3</v>
      </c>
      <c r="AA11" s="45">
        <f>bdrateOld($D11:$D14,G11:G14,$L11:$L14,O11:O14)</f>
        <v>1.7158650120229435E-2</v>
      </c>
    </row>
    <row r="12" spans="1:27" x14ac:dyDescent="0.2">
      <c r="A12" s="34"/>
      <c r="B12" s="83"/>
      <c r="C12" s="16">
        <v>48</v>
      </c>
      <c r="D12" s="17">
        <f>Reference!B10</f>
        <v>57040.086300000003</v>
      </c>
      <c r="E12" s="18">
        <f>Reference!C10</f>
        <v>38.854700000000001</v>
      </c>
      <c r="F12" s="18">
        <f>Reference!D10</f>
        <v>41.2134</v>
      </c>
      <c r="G12" s="18">
        <f>Reference!E10</f>
        <v>41.616900000000001</v>
      </c>
      <c r="H12" s="18">
        <f>Reference!F10</f>
        <v>85536.812000000005</v>
      </c>
      <c r="I12" s="18">
        <f>Reference!G10</f>
        <v>29.959</v>
      </c>
      <c r="J12" s="19">
        <f t="shared" si="0"/>
        <v>23.760225555555557</v>
      </c>
      <c r="L12" s="17">
        <f>Test!B10</f>
        <v>56504.842100000002</v>
      </c>
      <c r="M12" s="18">
        <f>Test!C10</f>
        <v>38.837299999999999</v>
      </c>
      <c r="N12" s="18">
        <f>Test!D10</f>
        <v>41.228700000000003</v>
      </c>
      <c r="O12" s="18">
        <f>Test!E10</f>
        <v>41.5717</v>
      </c>
      <c r="P12" s="18">
        <f>Test!F10</f>
        <v>104040.539</v>
      </c>
      <c r="Q12" s="18">
        <f>Test!G10</f>
        <v>30.779</v>
      </c>
      <c r="R12" s="18">
        <f t="shared" si="1"/>
        <v>28.900149722222224</v>
      </c>
      <c r="S12" s="17">
        <f t="shared" si="2"/>
        <v>1.2163247211037045</v>
      </c>
      <c r="T12" s="18">
        <f t="shared" si="2"/>
        <v>1.0273707400113488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25733.2484</v>
      </c>
      <c r="E13" s="18">
        <f>Reference!C11</f>
        <v>37.279400000000003</v>
      </c>
      <c r="F13" s="18">
        <f>Reference!D11</f>
        <v>38.881100000000004</v>
      </c>
      <c r="G13" s="18">
        <f>Reference!E11</f>
        <v>40.4131</v>
      </c>
      <c r="H13" s="18">
        <f>Reference!F11</f>
        <v>49851.086000000003</v>
      </c>
      <c r="I13" s="18">
        <f>Reference!G11</f>
        <v>25.536000000000001</v>
      </c>
      <c r="J13" s="19">
        <f t="shared" si="0"/>
        <v>13.84752388888889</v>
      </c>
      <c r="L13" s="17">
        <f>Test!B11</f>
        <v>25653.599999999999</v>
      </c>
      <c r="M13" s="18">
        <f>Test!C11</f>
        <v>37.276600000000002</v>
      </c>
      <c r="N13" s="18">
        <f>Test!D11</f>
        <v>38.892200000000003</v>
      </c>
      <c r="O13" s="18">
        <f>Test!E11</f>
        <v>40.398699999999998</v>
      </c>
      <c r="P13" s="18">
        <f>Test!F11</f>
        <v>57098.152000000002</v>
      </c>
      <c r="Q13" s="18">
        <f>Test!G11</f>
        <v>26.385000000000002</v>
      </c>
      <c r="R13" s="18">
        <f t="shared" si="1"/>
        <v>15.860597777777778</v>
      </c>
      <c r="S13" s="17">
        <f t="shared" si="2"/>
        <v>1.1453742853265021</v>
      </c>
      <c r="T13" s="18">
        <f t="shared" si="2"/>
        <v>1.0332471804511278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12385.1937</v>
      </c>
      <c r="E14" s="23">
        <f>Reference!C12</f>
        <v>35.8748</v>
      </c>
      <c r="F14" s="23">
        <f>Reference!D12</f>
        <v>36.156500000000001</v>
      </c>
      <c r="G14" s="23">
        <f>Reference!E12</f>
        <v>38.816800000000001</v>
      </c>
      <c r="H14" s="23">
        <f>Reference!F12</f>
        <v>29716.455000000002</v>
      </c>
      <c r="I14" s="23">
        <f>Reference!G12</f>
        <v>22.113</v>
      </c>
      <c r="J14" s="24">
        <f t="shared" si="0"/>
        <v>8.2545708333333341</v>
      </c>
      <c r="L14" s="22">
        <f>Test!B12</f>
        <v>12373.2</v>
      </c>
      <c r="M14" s="23">
        <f>Test!C12</f>
        <v>35.881599999999999</v>
      </c>
      <c r="N14" s="23">
        <f>Test!D12</f>
        <v>36.166899999999998</v>
      </c>
      <c r="O14" s="23">
        <f>Test!E12</f>
        <v>38.837000000000003</v>
      </c>
      <c r="P14" s="23">
        <f>Test!F12</f>
        <v>31680.653999999999</v>
      </c>
      <c r="Q14" s="23">
        <f>Test!G12</f>
        <v>22.687999999999999</v>
      </c>
      <c r="R14" s="23">
        <f t="shared" si="1"/>
        <v>8.800181666666667</v>
      </c>
      <c r="S14" s="17">
        <f t="shared" si="2"/>
        <v>1.0660980254878987</v>
      </c>
      <c r="T14" s="18">
        <f t="shared" si="2"/>
        <v>1.0260028037805815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184893.7389</v>
      </c>
      <c r="E15" s="13">
        <f>Reference!C13</f>
        <v>38.639600000000002</v>
      </c>
      <c r="F15" s="13">
        <f>Reference!D13</f>
        <v>45.448700000000002</v>
      </c>
      <c r="G15" s="13">
        <f>Reference!E13</f>
        <v>43.344799999999999</v>
      </c>
      <c r="H15" s="13">
        <f>Reference!F13</f>
        <v>161923.96900000001</v>
      </c>
      <c r="I15" s="13">
        <f>Reference!G13</f>
        <v>40.322000000000003</v>
      </c>
      <c r="J15" s="14">
        <f>H15/3600</f>
        <v>44.978880277777783</v>
      </c>
      <c r="L15" s="12">
        <f>Test!B13</f>
        <v>179051.9621</v>
      </c>
      <c r="M15" s="13">
        <f>Test!C13</f>
        <v>38.596600000000002</v>
      </c>
      <c r="N15" s="13">
        <f>Test!D13</f>
        <v>45.4893</v>
      </c>
      <c r="O15" s="13">
        <f>Test!E13</f>
        <v>43.287100000000002</v>
      </c>
      <c r="P15" s="13">
        <f>Test!F13</f>
        <v>202411.859</v>
      </c>
      <c r="Q15" s="13">
        <f>Test!G13</f>
        <v>40.450000000000003</v>
      </c>
      <c r="R15" s="13">
        <f>P15/3600</f>
        <v>56.225516388888884</v>
      </c>
      <c r="S15" s="17">
        <f>P15/H15</f>
        <v>1.2500425986964288</v>
      </c>
      <c r="T15" s="18">
        <f>Q15/I15</f>
        <v>1.0031744457120182</v>
      </c>
      <c r="U15" s="91"/>
      <c r="V15" s="42">
        <f>bdrate($D15:$D18,E15:E18,$L15:$L18,M15:M18)</f>
        <v>-5.7712428449390174E-3</v>
      </c>
      <c r="W15" s="42">
        <f>bdrate($D15:$D18,F15:F18,$L15:$L18,N15:N18)</f>
        <v>-3.3023246377518967E-2</v>
      </c>
      <c r="X15" s="43">
        <f>bdrate($D15:$D18,G15:G18,$L15:$L18,O15:O18)</f>
        <v>1.0470396535729787E-2</v>
      </c>
      <c r="Y15" s="37">
        <f>bdrateOld($D15:$D18,E15:E18,$L15:$L18,M15:M18)</f>
        <v>-5.5010478664342388E-3</v>
      </c>
      <c r="Z15" s="42">
        <f>bdrateOld($D15:$D18,F15:F18,$L15:$L18,N15:N18)</f>
        <v>-3.3550255930815842E-2</v>
      </c>
      <c r="AA15" s="43">
        <f>bdrateOld($D15:$D18,G15:G18,$L15:$L18,O15:O18)</f>
        <v>9.981610864981949E-3</v>
      </c>
    </row>
    <row r="16" spans="1:27" x14ac:dyDescent="0.2">
      <c r="A16" s="16"/>
      <c r="B16" s="85"/>
      <c r="C16" s="16">
        <v>48</v>
      </c>
      <c r="D16" s="17">
        <f>Reference!B14</f>
        <v>87877.970499999996</v>
      </c>
      <c r="E16" s="18">
        <f>Reference!C14</f>
        <v>37.652799999999999</v>
      </c>
      <c r="F16" s="18">
        <f>Reference!D14</f>
        <v>44.460900000000002</v>
      </c>
      <c r="G16" s="18">
        <f>Reference!E14</f>
        <v>42.154400000000003</v>
      </c>
      <c r="H16" s="18">
        <f>Reference!F14</f>
        <v>96081.210999999996</v>
      </c>
      <c r="I16" s="18">
        <f>Reference!G14</f>
        <v>32.545000000000002</v>
      </c>
      <c r="J16" s="19">
        <f t="shared" ref="J16:J26" si="3">H16/3600</f>
        <v>26.689225277777776</v>
      </c>
      <c r="L16" s="17">
        <f>Test!B14</f>
        <v>87676.458899999998</v>
      </c>
      <c r="M16" s="18">
        <f>Test!C14</f>
        <v>37.658799999999999</v>
      </c>
      <c r="N16" s="18">
        <f>Test!D14</f>
        <v>44.514099999999999</v>
      </c>
      <c r="O16" s="18">
        <f>Test!E14</f>
        <v>42.114100000000001</v>
      </c>
      <c r="P16" s="18">
        <f>Test!F14</f>
        <v>115907.67200000001</v>
      </c>
      <c r="Q16" s="18">
        <f>Test!G14</f>
        <v>33.457000000000001</v>
      </c>
      <c r="R16" s="18">
        <f t="shared" ref="R16:R26" si="4">P16/3600</f>
        <v>32.196575555555555</v>
      </c>
      <c r="S16" s="17">
        <f t="shared" ref="S16:S26" si="5">P16/H16</f>
        <v>1.2063510731562284</v>
      </c>
      <c r="T16" s="18">
        <f t="shared" ref="T16:T26" si="6">Q16/I16</f>
        <v>1.0280227377477338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50315.658900000002</v>
      </c>
      <c r="E17" s="18">
        <f>Reference!C15</f>
        <v>36.711399999999998</v>
      </c>
      <c r="F17" s="18">
        <f>Reference!D15</f>
        <v>43.3523</v>
      </c>
      <c r="G17" s="18">
        <f>Reference!E15</f>
        <v>40.901000000000003</v>
      </c>
      <c r="H17" s="18">
        <f>Reference!F15</f>
        <v>62091.832000000002</v>
      </c>
      <c r="I17" s="18">
        <f>Reference!G15</f>
        <v>28.629000000000001</v>
      </c>
      <c r="J17" s="19">
        <f t="shared" si="3"/>
        <v>17.247731111111111</v>
      </c>
      <c r="L17" s="17">
        <f>Test!B15</f>
        <v>50328.164199999999</v>
      </c>
      <c r="M17" s="18">
        <f>Test!C15</f>
        <v>36.726300000000002</v>
      </c>
      <c r="N17" s="18">
        <f>Test!D15</f>
        <v>43.419499999999999</v>
      </c>
      <c r="O17" s="18">
        <f>Test!E15</f>
        <v>40.876399999999997</v>
      </c>
      <c r="P17" s="18">
        <f>Test!F15</f>
        <v>69089.991999999998</v>
      </c>
      <c r="Q17" s="18">
        <f>Test!G15</f>
        <v>29.183</v>
      </c>
      <c r="R17" s="18">
        <f t="shared" si="4"/>
        <v>19.191664444444445</v>
      </c>
      <c r="S17" s="17">
        <f t="shared" si="5"/>
        <v>1.1127066117166586</v>
      </c>
      <c r="T17" s="18">
        <f t="shared" si="6"/>
        <v>1.0193510077194452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26420.715800000002</v>
      </c>
      <c r="E18" s="23">
        <f>Reference!C16</f>
        <v>35.187600000000003</v>
      </c>
      <c r="F18" s="23">
        <f>Reference!D16</f>
        <v>41.8461</v>
      </c>
      <c r="G18" s="23">
        <f>Reference!E16</f>
        <v>39.4206</v>
      </c>
      <c r="H18" s="23">
        <f>Reference!F16</f>
        <v>39848.266000000003</v>
      </c>
      <c r="I18" s="23">
        <f>Reference!G16</f>
        <v>25.315000000000001</v>
      </c>
      <c r="J18" s="24">
        <f t="shared" si="3"/>
        <v>11.068962777777779</v>
      </c>
      <c r="L18" s="22">
        <f>Test!B16</f>
        <v>26478.4421</v>
      </c>
      <c r="M18" s="23">
        <f>Test!C16</f>
        <v>35.212899999999998</v>
      </c>
      <c r="N18" s="23">
        <f>Test!D16</f>
        <v>41.898099999999999</v>
      </c>
      <c r="O18" s="23">
        <f>Test!E16</f>
        <v>39.448300000000003</v>
      </c>
      <c r="P18" s="23">
        <f>Test!F16</f>
        <v>40698.891000000003</v>
      </c>
      <c r="Q18" s="23">
        <f>Test!G16</f>
        <v>24.928999999999998</v>
      </c>
      <c r="R18" s="23">
        <f t="shared" si="4"/>
        <v>11.3052475</v>
      </c>
      <c r="S18" s="17">
        <f t="shared" si="5"/>
        <v>1.0213466001255864</v>
      </c>
      <c r="T18" s="18">
        <f t="shared" si="6"/>
        <v>0.98475212324708661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68940.412700000001</v>
      </c>
      <c r="E19" s="13">
        <f>Reference!C17</f>
        <v>39.548299999999998</v>
      </c>
      <c r="F19" s="13">
        <f>Reference!D17</f>
        <v>40.3825</v>
      </c>
      <c r="G19" s="13">
        <f>Reference!E17</f>
        <v>43.382300000000001</v>
      </c>
      <c r="H19" s="13">
        <f>Reference!F17</f>
        <v>76867.241999999998</v>
      </c>
      <c r="I19" s="13">
        <f>Reference!G17</f>
        <v>19.225999999999999</v>
      </c>
      <c r="J19" s="14">
        <f t="shared" si="3"/>
        <v>21.352011666666666</v>
      </c>
      <c r="L19" s="12">
        <f>Test!B17</f>
        <v>68369.041299999997</v>
      </c>
      <c r="M19" s="13">
        <f>Test!C17</f>
        <v>39.539400000000001</v>
      </c>
      <c r="N19" s="13">
        <f>Test!D17</f>
        <v>40.374000000000002</v>
      </c>
      <c r="O19" s="13">
        <f>Test!E17</f>
        <v>43.317</v>
      </c>
      <c r="P19" s="13">
        <f>Test!F17</f>
        <v>99198.773000000001</v>
      </c>
      <c r="Q19" s="13">
        <f>Test!G17</f>
        <v>20.282</v>
      </c>
      <c r="R19" s="13">
        <f t="shared" si="4"/>
        <v>27.555214722222221</v>
      </c>
      <c r="S19" s="12">
        <f t="shared" si="5"/>
        <v>1.2905207786692803</v>
      </c>
      <c r="T19" s="13">
        <f t="shared" si="6"/>
        <v>1.0549256215541454</v>
      </c>
      <c r="U19" s="90"/>
      <c r="V19" s="42">
        <f>bdrate($D19:$D22,E19:E22,$L19:$L22,M19:M22)</f>
        <v>-4.4856292232638983E-3</v>
      </c>
      <c r="W19" s="42">
        <f>bdrate($D19:$D22,F19:F22,$L19:$L22,N19:N22)</f>
        <v>-1.3485094427932998E-2</v>
      </c>
      <c r="X19" s="42">
        <f>bdrate($D19:$D22,G19:G22,$L19:$L22,O19:O22)</f>
        <v>-4.3258110048460807E-6</v>
      </c>
      <c r="Y19" s="40">
        <f>bdrateOld($D19:$D22,E19:E22,$L19:$L22,M19:M22)</f>
        <v>-4.4816132553774368E-3</v>
      </c>
      <c r="Z19" s="44">
        <f>bdrateOld($D19:$D22,F19:F22,$L19:$L22,N19:N22)</f>
        <v>-1.3600755358177175E-2</v>
      </c>
      <c r="AA19" s="45">
        <f>bdrateOld($D19:$D22,G19:G22,$L19:$L22,O19:O22)</f>
        <v>2.2496790599713101E-4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41039.593699999998</v>
      </c>
      <c r="E20" s="18">
        <f>Reference!C18</f>
        <v>37.894300000000001</v>
      </c>
      <c r="F20" s="18">
        <f>Reference!D18</f>
        <v>39.314599999999999</v>
      </c>
      <c r="G20" s="18">
        <f>Reference!E18</f>
        <v>41.8553</v>
      </c>
      <c r="H20" s="18">
        <f>Reference!F18</f>
        <v>54309.792999999998</v>
      </c>
      <c r="I20" s="18">
        <f>Reference!G18</f>
        <v>16.440999999999999</v>
      </c>
      <c r="J20" s="19">
        <f t="shared" si="3"/>
        <v>15.08605361111111</v>
      </c>
      <c r="L20" s="17">
        <f>Test!B18</f>
        <v>40843.371400000004</v>
      </c>
      <c r="M20" s="18">
        <f>Test!C18</f>
        <v>37.8947</v>
      </c>
      <c r="N20" s="18">
        <f>Test!D18</f>
        <v>39.331099999999999</v>
      </c>
      <c r="O20" s="18">
        <f>Test!E18</f>
        <v>41.833599999999997</v>
      </c>
      <c r="P20" s="18">
        <f>Test!F18</f>
        <v>67656.422000000006</v>
      </c>
      <c r="Q20" s="18">
        <f>Test!G18</f>
        <v>16.753</v>
      </c>
      <c r="R20" s="18">
        <f t="shared" si="4"/>
        <v>18.793450555555559</v>
      </c>
      <c r="S20" s="17">
        <f t="shared" si="5"/>
        <v>1.2457499515787145</v>
      </c>
      <c r="T20" s="18">
        <f t="shared" si="6"/>
        <v>1.018976947874217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23587.866699999999</v>
      </c>
      <c r="E21" s="18">
        <f>Reference!C19</f>
        <v>35.965400000000002</v>
      </c>
      <c r="F21" s="18">
        <f>Reference!D19</f>
        <v>38.367100000000001</v>
      </c>
      <c r="G21" s="18">
        <f>Reference!E19</f>
        <v>40.373899999999999</v>
      </c>
      <c r="H21" s="18">
        <f>Reference!F19</f>
        <v>38490.008000000002</v>
      </c>
      <c r="I21" s="18">
        <f>Reference!G19</f>
        <v>14.406000000000001</v>
      </c>
      <c r="J21" s="19">
        <f t="shared" si="3"/>
        <v>10.69166888888889</v>
      </c>
      <c r="L21" s="17">
        <f>Test!B19</f>
        <v>23511.834900000002</v>
      </c>
      <c r="M21" s="18">
        <f>Test!C19</f>
        <v>35.969099999999997</v>
      </c>
      <c r="N21" s="18">
        <f>Test!D19</f>
        <v>38.389400000000002</v>
      </c>
      <c r="O21" s="18">
        <f>Test!E19</f>
        <v>40.364100000000001</v>
      </c>
      <c r="P21" s="18">
        <f>Test!F19</f>
        <v>45714.828000000001</v>
      </c>
      <c r="Q21" s="18">
        <f>Test!G19</f>
        <v>14.696999999999999</v>
      </c>
      <c r="R21" s="18">
        <f t="shared" si="4"/>
        <v>12.698563333333334</v>
      </c>
      <c r="S21" s="17">
        <f t="shared" si="5"/>
        <v>1.1877063782371777</v>
      </c>
      <c r="T21" s="18">
        <f t="shared" si="6"/>
        <v>1.0201999167013742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11987.5111</v>
      </c>
      <c r="E22" s="23">
        <f>Reference!C20</f>
        <v>33.480699999999999</v>
      </c>
      <c r="F22" s="23">
        <f>Reference!D20</f>
        <v>37.125</v>
      </c>
      <c r="G22" s="23">
        <f>Reference!E20</f>
        <v>38.557299999999998</v>
      </c>
      <c r="H22" s="23">
        <f>Reference!F20</f>
        <v>25547.449000000001</v>
      </c>
      <c r="I22" s="23">
        <f>Reference!G20</f>
        <v>11.840999999999999</v>
      </c>
      <c r="J22" s="24">
        <f t="shared" si="3"/>
        <v>7.0965136111111109</v>
      </c>
      <c r="L22" s="22">
        <f>Test!B20</f>
        <v>11974.450800000001</v>
      </c>
      <c r="M22" s="23">
        <f>Test!C20</f>
        <v>33.4908</v>
      </c>
      <c r="N22" s="23">
        <f>Test!D20</f>
        <v>37.150300000000001</v>
      </c>
      <c r="O22" s="23">
        <f>Test!E20</f>
        <v>38.6053</v>
      </c>
      <c r="P22" s="23">
        <f>Test!F20</f>
        <v>28585.053</v>
      </c>
      <c r="Q22" s="23">
        <f>Test!G20</f>
        <v>12.288</v>
      </c>
      <c r="R22" s="23">
        <f t="shared" si="4"/>
        <v>7.9402925</v>
      </c>
      <c r="S22" s="17">
        <f t="shared" si="5"/>
        <v>1.1189004820011579</v>
      </c>
      <c r="T22" s="18">
        <f t="shared" si="6"/>
        <v>1.0377501900177351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43423.631699999998</v>
      </c>
      <c r="E23" s="13">
        <f>Reference!C21</f>
        <v>40.178400000000003</v>
      </c>
      <c r="F23" s="13">
        <f>Reference!D21</f>
        <v>44.061100000000003</v>
      </c>
      <c r="G23" s="13">
        <f>Reference!E21</f>
        <v>45.551900000000003</v>
      </c>
      <c r="H23" s="13">
        <f>Reference!F21</f>
        <v>61150.464999999997</v>
      </c>
      <c r="I23" s="13">
        <f>Reference!G21</f>
        <v>16.545999999999999</v>
      </c>
      <c r="J23" s="14">
        <f t="shared" si="3"/>
        <v>16.986240277777778</v>
      </c>
      <c r="L23" s="12">
        <f>Test!B21</f>
        <v>43090.196799999998</v>
      </c>
      <c r="M23" s="13">
        <f>Test!C21</f>
        <v>40.181399999999996</v>
      </c>
      <c r="N23" s="13">
        <f>Test!D21</f>
        <v>44.090800000000002</v>
      </c>
      <c r="O23" s="13">
        <f>Test!E21</f>
        <v>45.5242</v>
      </c>
      <c r="P23" s="13">
        <f>Test!F21</f>
        <v>77574.187999999995</v>
      </c>
      <c r="Q23" s="13">
        <f>Test!G21</f>
        <v>17.263000000000002</v>
      </c>
      <c r="R23" s="13">
        <f t="shared" si="4"/>
        <v>21.548385555555555</v>
      </c>
      <c r="S23" s="17">
        <f t="shared" si="5"/>
        <v>1.2685788734394743</v>
      </c>
      <c r="T23" s="18">
        <f t="shared" si="6"/>
        <v>1.0433337362504533</v>
      </c>
      <c r="U23" s="91"/>
      <c r="V23" s="42">
        <f>bdrate($D23:$D26,E23:E26,$L23:$L26,M23:M26)</f>
        <v>-8.0076868359167941E-3</v>
      </c>
      <c r="W23" s="42">
        <f>bdrate($D23:$D26,F23:F26,$L23:$L26,N23:N26)</f>
        <v>-2.5625635688018455E-2</v>
      </c>
      <c r="X23" s="42">
        <f>bdrate($D23:$D26,G23:G26,$L23:$L26,O23:O26)</f>
        <v>-8.1492383047901962E-3</v>
      </c>
      <c r="Y23" s="40">
        <f>bdrateOld($D23:$D26,E23:E26,$L23:$L26,M23:M26)</f>
        <v>-8.0239085126032617E-3</v>
      </c>
      <c r="Z23" s="44">
        <f>bdrateOld($D23:$D26,F23:F26,$L23:$L26,N23:N26)</f>
        <v>-2.5235374448882575E-2</v>
      </c>
      <c r="AA23" s="45">
        <f>bdrateOld($D23:$D26,G23:G26,$L23:$L26,O23:O26)</f>
        <v>-7.956525485068866E-3</v>
      </c>
    </row>
    <row r="24" spans="1:27" x14ac:dyDescent="0.2">
      <c r="A24" s="34"/>
      <c r="B24" s="85"/>
      <c r="C24" s="16">
        <v>32</v>
      </c>
      <c r="D24" s="17">
        <f>Reference!B22</f>
        <v>23633.263500000001</v>
      </c>
      <c r="E24" s="18">
        <f>Reference!C22</f>
        <v>38.694000000000003</v>
      </c>
      <c r="F24" s="18">
        <f>Reference!D22</f>
        <v>43.004899999999999</v>
      </c>
      <c r="G24" s="18">
        <f>Reference!E22</f>
        <v>43.986600000000003</v>
      </c>
      <c r="H24" s="18">
        <f>Reference!F22</f>
        <v>41666.843999999997</v>
      </c>
      <c r="I24" s="18">
        <f>Reference!G22</f>
        <v>14.1</v>
      </c>
      <c r="J24" s="19">
        <f t="shared" si="3"/>
        <v>11.574123333333333</v>
      </c>
      <c r="L24" s="17">
        <f>Test!B22</f>
        <v>23502.431700000001</v>
      </c>
      <c r="M24" s="18">
        <f>Test!C22</f>
        <v>38.7014</v>
      </c>
      <c r="N24" s="18">
        <f>Test!D22</f>
        <v>43.055399999999999</v>
      </c>
      <c r="O24" s="18">
        <f>Test!E22</f>
        <v>43.986600000000003</v>
      </c>
      <c r="P24" s="18">
        <f>Test!F22</f>
        <v>50336.82</v>
      </c>
      <c r="Q24" s="18">
        <f>Test!G22</f>
        <v>14.717000000000001</v>
      </c>
      <c r="R24" s="18">
        <f t="shared" si="4"/>
        <v>13.98245</v>
      </c>
      <c r="S24" s="17">
        <f t="shared" si="5"/>
        <v>1.2080785384177406</v>
      </c>
      <c r="T24" s="18">
        <f t="shared" si="6"/>
        <v>1.043758865248227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13196.1333</v>
      </c>
      <c r="E25" s="18">
        <f>Reference!C23</f>
        <v>37.217599999999997</v>
      </c>
      <c r="F25" s="18">
        <f>Reference!D23</f>
        <v>41.820599999999999</v>
      </c>
      <c r="G25" s="18">
        <f>Reference!E23</f>
        <v>42.322099999999999</v>
      </c>
      <c r="H25" s="18">
        <f>Reference!F23</f>
        <v>28276.113000000001</v>
      </c>
      <c r="I25" s="18">
        <f>Reference!G23</f>
        <v>12.773999999999999</v>
      </c>
      <c r="J25" s="19">
        <f t="shared" si="3"/>
        <v>7.8544758333333338</v>
      </c>
      <c r="L25" s="17">
        <f>Test!B23</f>
        <v>13189.549199999999</v>
      </c>
      <c r="M25" s="18">
        <f>Test!C23</f>
        <v>37.238399999999999</v>
      </c>
      <c r="N25" s="18">
        <f>Test!D23</f>
        <v>41.873800000000003</v>
      </c>
      <c r="O25" s="18">
        <f>Test!E23</f>
        <v>42.3474</v>
      </c>
      <c r="P25" s="18">
        <f>Test!F23</f>
        <v>32037.348000000002</v>
      </c>
      <c r="Q25" s="18">
        <f>Test!G23</f>
        <v>12.959</v>
      </c>
      <c r="R25" s="18">
        <f t="shared" si="4"/>
        <v>8.8992633333333337</v>
      </c>
      <c r="S25" s="17">
        <f t="shared" si="5"/>
        <v>1.1330181061307825</v>
      </c>
      <c r="T25" s="18">
        <f t="shared" si="6"/>
        <v>1.0144825426647879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7016.8698000000004</v>
      </c>
      <c r="E26" s="23">
        <f>Reference!C24</f>
        <v>35.273000000000003</v>
      </c>
      <c r="F26" s="23">
        <f>Reference!D24</f>
        <v>40.258699999999997</v>
      </c>
      <c r="G26" s="23">
        <f>Reference!E24</f>
        <v>40.239600000000003</v>
      </c>
      <c r="H26" s="23">
        <f>Reference!F24</f>
        <v>18043.605</v>
      </c>
      <c r="I26" s="23">
        <f>Reference!G24</f>
        <v>11.09</v>
      </c>
      <c r="J26" s="24">
        <f t="shared" si="3"/>
        <v>5.0121124999999997</v>
      </c>
      <c r="L26" s="22">
        <f>Test!B24</f>
        <v>7026.9143000000004</v>
      </c>
      <c r="M26" s="23">
        <f>Test!C24</f>
        <v>35.299399999999999</v>
      </c>
      <c r="N26" s="23">
        <f>Test!D24</f>
        <v>40.309699999999999</v>
      </c>
      <c r="O26" s="23">
        <f>Test!E24</f>
        <v>40.318399999999997</v>
      </c>
      <c r="P26" s="23">
        <f>Test!F24</f>
        <v>19042.791000000001</v>
      </c>
      <c r="Q26" s="23">
        <f>Test!G24</f>
        <v>11.275</v>
      </c>
      <c r="R26" s="23">
        <f t="shared" si="4"/>
        <v>5.2896641666666673</v>
      </c>
      <c r="S26" s="17">
        <f t="shared" si="5"/>
        <v>1.0553761845263183</v>
      </c>
      <c r="T26" s="18">
        <f t="shared" si="6"/>
        <v>1.0166816952209199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65610.675199999998</v>
      </c>
      <c r="E27" s="13">
        <f>Reference!C25</f>
        <v>41.6905</v>
      </c>
      <c r="F27" s="13">
        <f>Reference!D25</f>
        <v>44.162999999999997</v>
      </c>
      <c r="G27" s="13">
        <f>Reference!E25</f>
        <v>44.965800000000002</v>
      </c>
      <c r="H27" s="13">
        <f>Reference!F25</f>
        <v>66904.008000000002</v>
      </c>
      <c r="I27" s="13">
        <f>Reference!G25</f>
        <v>20.834</v>
      </c>
      <c r="J27" s="14">
        <f>H27/3600</f>
        <v>18.584446666666668</v>
      </c>
      <c r="L27" s="12">
        <f>Test!B25</f>
        <v>65257.612800000003</v>
      </c>
      <c r="M27" s="13">
        <f>Test!C25</f>
        <v>41.673000000000002</v>
      </c>
      <c r="N27" s="13">
        <f>Test!D25</f>
        <v>44.171900000000001</v>
      </c>
      <c r="O27" s="13">
        <f>Test!E25</f>
        <v>44.927300000000002</v>
      </c>
      <c r="P27" s="13">
        <f>Test!F25</f>
        <v>85129.906000000003</v>
      </c>
      <c r="Q27" s="13">
        <f>Test!G25</f>
        <v>21.442</v>
      </c>
      <c r="R27" s="13">
        <f>P27/3600</f>
        <v>23.647196111111111</v>
      </c>
      <c r="S27" s="17">
        <f>P27/H27</f>
        <v>1.2724186269976532</v>
      </c>
      <c r="T27" s="18">
        <f>Q27/I27</f>
        <v>1.0291830661418835</v>
      </c>
      <c r="U27" s="91"/>
      <c r="V27" s="42">
        <f>bdrate($D27:$D30,E27:E30,$L27:$L30,M27:M30)</f>
        <v>-1.8905964625997029E-3</v>
      </c>
      <c r="W27" s="42">
        <f>bdrate($D27:$D30,F27:F30,$L27:$L30,N27:N30)</f>
        <v>-1.1664487355945163E-2</v>
      </c>
      <c r="X27" s="43">
        <f>bdrate($D27:$D30,G27:G30,$L27:$L30,O27:O30)</f>
        <v>-3.7072029102643844E-3</v>
      </c>
      <c r="Y27" s="37">
        <f>bdrateOld($D27:$D30,E27:E30,$L27:$L30,M27:M30)</f>
        <v>-1.9038375359000659E-3</v>
      </c>
      <c r="Z27" s="42">
        <f>bdrateOld($D27:$D30,F27:F30,$L27:$L30,N27:N30)</f>
        <v>-1.1689749127891336E-2</v>
      </c>
      <c r="AA27" s="43">
        <f>bdrateOld($D27:$D30,G27:G30,$L27:$L30,O27:O30)</f>
        <v>-3.7367710892213246E-3</v>
      </c>
    </row>
    <row r="28" spans="1:27" x14ac:dyDescent="0.2">
      <c r="A28" s="16"/>
      <c r="B28" s="85"/>
      <c r="C28" s="16">
        <v>48</v>
      </c>
      <c r="D28" s="17">
        <f>Reference!B26</f>
        <v>42188.544000000002</v>
      </c>
      <c r="E28" s="18">
        <f>Reference!C26</f>
        <v>39.883400000000002</v>
      </c>
      <c r="F28" s="18">
        <f>Reference!D26</f>
        <v>42.622700000000002</v>
      </c>
      <c r="G28" s="18">
        <f>Reference!E26</f>
        <v>43.610399999999998</v>
      </c>
      <c r="H28" s="18">
        <f>Reference!F26</f>
        <v>50573.644999999997</v>
      </c>
      <c r="I28" s="18">
        <f>Reference!G26</f>
        <v>18.161000000000001</v>
      </c>
      <c r="J28" s="19">
        <f t="shared" ref="J28:J46" si="7">H28/3600</f>
        <v>14.048234722222221</v>
      </c>
      <c r="L28" s="17">
        <f>Test!B26</f>
        <v>42040.8128</v>
      </c>
      <c r="M28" s="18">
        <f>Test!C26</f>
        <v>39.875599999999999</v>
      </c>
      <c r="N28" s="18">
        <f>Test!D26</f>
        <v>42.639299999999999</v>
      </c>
      <c r="O28" s="18">
        <f>Test!E26</f>
        <v>43.592599999999997</v>
      </c>
      <c r="P28" s="18">
        <f>Test!F26</f>
        <v>61763.453000000001</v>
      </c>
      <c r="Q28" s="18">
        <f>Test!G26</f>
        <v>18.893999999999998</v>
      </c>
      <c r="R28" s="18">
        <f t="shared" ref="R28:R46" si="8">P28/3600</f>
        <v>17.156514722222223</v>
      </c>
      <c r="S28" s="17">
        <f t="shared" ref="S28:S46" si="9">P28/H28</f>
        <v>1.2212576926183589</v>
      </c>
      <c r="T28" s="18">
        <f t="shared" ref="T28:T46" si="10">Q28/I28</f>
        <v>1.0403612135895599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24727.257600000001</v>
      </c>
      <c r="E29" s="18">
        <f>Reference!C27</f>
        <v>37.658000000000001</v>
      </c>
      <c r="F29" s="18">
        <f>Reference!D27</f>
        <v>41.206499999999998</v>
      </c>
      <c r="G29" s="18">
        <f>Reference!E27</f>
        <v>42.2072</v>
      </c>
      <c r="H29" s="18">
        <f>Reference!F27</f>
        <v>36964.495999999999</v>
      </c>
      <c r="I29" s="18">
        <f>Reference!G27</f>
        <v>16.356000000000002</v>
      </c>
      <c r="J29" s="19">
        <f t="shared" si="7"/>
        <v>10.267915555555556</v>
      </c>
      <c r="L29" s="17">
        <f>Test!B27</f>
        <v>24667.903999999999</v>
      </c>
      <c r="M29" s="18">
        <f>Test!C27</f>
        <v>37.6571</v>
      </c>
      <c r="N29" s="18">
        <f>Test!D27</f>
        <v>41.237099999999998</v>
      </c>
      <c r="O29" s="18">
        <f>Test!E27</f>
        <v>42.217799999999997</v>
      </c>
      <c r="P29" s="18">
        <f>Test!F27</f>
        <v>42776.398000000001</v>
      </c>
      <c r="Q29" s="18">
        <f>Test!G27</f>
        <v>16.443000000000001</v>
      </c>
      <c r="R29" s="18">
        <f t="shared" si="8"/>
        <v>11.882332777777778</v>
      </c>
      <c r="S29" s="17">
        <f t="shared" si="9"/>
        <v>1.1572293045737727</v>
      </c>
      <c r="T29" s="18">
        <f t="shared" si="10"/>
        <v>1.0053191489361701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12450.547200000001</v>
      </c>
      <c r="E30" s="23">
        <f>Reference!C28</f>
        <v>34.967399999999998</v>
      </c>
      <c r="F30" s="23">
        <f>Reference!D28</f>
        <v>39.609400000000001</v>
      </c>
      <c r="G30" s="23">
        <f>Reference!E28</f>
        <v>40.493099999999998</v>
      </c>
      <c r="H30" s="23">
        <f>Reference!F28</f>
        <v>24660.678</v>
      </c>
      <c r="I30" s="23">
        <f>Reference!G28</f>
        <v>13.922000000000001</v>
      </c>
      <c r="J30" s="24">
        <f t="shared" si="7"/>
        <v>6.8501883333333335</v>
      </c>
      <c r="L30" s="22">
        <f>Test!B28</f>
        <v>12453.6512</v>
      </c>
      <c r="M30" s="23">
        <f>Test!C28</f>
        <v>34.976399999999998</v>
      </c>
      <c r="N30" s="23">
        <f>Test!D28</f>
        <v>39.641500000000001</v>
      </c>
      <c r="O30" s="23">
        <f>Test!E28</f>
        <v>40.537700000000001</v>
      </c>
      <c r="P30" s="23">
        <f>Test!F28</f>
        <v>26613.171999999999</v>
      </c>
      <c r="Q30" s="23">
        <f>Test!G28</f>
        <v>13.971</v>
      </c>
      <c r="R30" s="23">
        <f t="shared" si="8"/>
        <v>7.3925477777777777</v>
      </c>
      <c r="S30" s="17">
        <f t="shared" si="9"/>
        <v>1.07917438441879</v>
      </c>
      <c r="T30" s="18">
        <f t="shared" si="10"/>
        <v>1.0035196092515444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40239.833599999998</v>
      </c>
      <c r="E31" s="13">
        <f>Reference!C29</f>
        <v>44.8401</v>
      </c>
      <c r="F31" s="13">
        <f>Reference!D29</f>
        <v>47.061300000000003</v>
      </c>
      <c r="G31" s="13">
        <f>Reference!E29</f>
        <v>48.108699999999999</v>
      </c>
      <c r="H31" s="13">
        <f>Reference!F29</f>
        <v>48969.133000000002</v>
      </c>
      <c r="I31" s="13">
        <f>Reference!G29</f>
        <v>18.867000000000001</v>
      </c>
      <c r="J31" s="14">
        <f t="shared" si="7"/>
        <v>13.602536944444445</v>
      </c>
      <c r="L31" s="12">
        <f>Test!B29</f>
        <v>40027.372799999997</v>
      </c>
      <c r="M31" s="13">
        <f>Test!C29</f>
        <v>44.843800000000002</v>
      </c>
      <c r="N31" s="13">
        <f>Test!D29</f>
        <v>47.092399999999998</v>
      </c>
      <c r="O31" s="13">
        <f>Test!E29</f>
        <v>48.039700000000003</v>
      </c>
      <c r="P31" s="13">
        <f>Test!F29</f>
        <v>59996.815999999999</v>
      </c>
      <c r="Q31" s="13">
        <f>Test!G29</f>
        <v>19.288</v>
      </c>
      <c r="R31" s="13">
        <f t="shared" si="8"/>
        <v>16.665782222222223</v>
      </c>
      <c r="S31" s="17">
        <f t="shared" si="9"/>
        <v>1.2251966151820577</v>
      </c>
      <c r="T31" s="18">
        <f t="shared" si="10"/>
        <v>1.0223140933905761</v>
      </c>
      <c r="U31" s="91"/>
      <c r="V31" s="42">
        <f>bdrate($D31:$D34,E31:E34,$L31:$L34,M31:M34)</f>
        <v>-5.0608658882945745E-3</v>
      </c>
      <c r="W31" s="42">
        <f>bdrate($D31:$D34,F31:F34,$L31:$L34,N31:N34)</f>
        <v>-2.0459878475484694E-2</v>
      </c>
      <c r="X31" s="42">
        <f>bdrate($D31:$D34,G31:G34,$L31:$L34,O31:O34)</f>
        <v>-3.9764005857561013E-3</v>
      </c>
      <c r="Y31" s="40">
        <f>bdrateOld($D31:$D34,E31:E34,$L31:$L34,M31:M34)</f>
        <v>-5.0872417768325073E-3</v>
      </c>
      <c r="Z31" s="44">
        <f>bdrateOld($D31:$D34,F31:F34,$L31:$L34,N31:N34)</f>
        <v>-2.0534283356330896E-2</v>
      </c>
      <c r="AA31" s="45">
        <f>bdrateOld($D31:$D34,G31:G34,$L31:$L34,O31:O34)</f>
        <v>-3.75169955450394E-3</v>
      </c>
    </row>
    <row r="32" spans="1:27" x14ac:dyDescent="0.2">
      <c r="A32" s="16"/>
      <c r="B32" s="85"/>
      <c r="C32" s="16">
        <v>48</v>
      </c>
      <c r="D32" s="17">
        <f>Reference!B30</f>
        <v>26483.903999999999</v>
      </c>
      <c r="E32" s="18">
        <f>Reference!C30</f>
        <v>42.6877</v>
      </c>
      <c r="F32" s="18">
        <f>Reference!D30</f>
        <v>45.254800000000003</v>
      </c>
      <c r="G32" s="18">
        <f>Reference!E30</f>
        <v>46.168300000000002</v>
      </c>
      <c r="H32" s="18">
        <f>Reference!F30</f>
        <v>38934.012000000002</v>
      </c>
      <c r="I32" s="18">
        <f>Reference!G30</f>
        <v>16.643000000000001</v>
      </c>
      <c r="J32" s="19">
        <f t="shared" si="7"/>
        <v>10.815003333333333</v>
      </c>
      <c r="L32" s="17">
        <f>Test!B30</f>
        <v>26381.472000000002</v>
      </c>
      <c r="M32" s="18">
        <f>Test!C30</f>
        <v>42.694299999999998</v>
      </c>
      <c r="N32" s="18">
        <f>Test!D30</f>
        <v>45.306800000000003</v>
      </c>
      <c r="O32" s="18">
        <f>Test!E30</f>
        <v>46.142299999999999</v>
      </c>
      <c r="P32" s="18">
        <f>Test!F30</f>
        <v>45903.805</v>
      </c>
      <c r="Q32" s="18">
        <f>Test!G30</f>
        <v>17.196000000000002</v>
      </c>
      <c r="R32" s="18">
        <f t="shared" si="8"/>
        <v>12.751056944444445</v>
      </c>
      <c r="S32" s="17">
        <f t="shared" si="9"/>
        <v>1.1790155353113878</v>
      </c>
      <c r="T32" s="18">
        <f t="shared" si="10"/>
        <v>1.0332271825992911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15641.12</v>
      </c>
      <c r="E33" s="18">
        <f>Reference!C31</f>
        <v>40.003700000000002</v>
      </c>
      <c r="F33" s="18">
        <f>Reference!D31</f>
        <v>43.565899999999999</v>
      </c>
      <c r="G33" s="18">
        <f>Reference!E31</f>
        <v>44.285200000000003</v>
      </c>
      <c r="H33" s="18">
        <f>Reference!F31</f>
        <v>28728.258000000002</v>
      </c>
      <c r="I33" s="18">
        <f>Reference!G31</f>
        <v>15.016</v>
      </c>
      <c r="J33" s="19">
        <f t="shared" si="7"/>
        <v>7.9800716666666673</v>
      </c>
      <c r="L33" s="17">
        <f>Test!B31</f>
        <v>15608.352000000001</v>
      </c>
      <c r="M33" s="18">
        <f>Test!C31</f>
        <v>40.018500000000003</v>
      </c>
      <c r="N33" s="18">
        <f>Test!D31</f>
        <v>43.634599999999999</v>
      </c>
      <c r="O33" s="18">
        <f>Test!E31</f>
        <v>44.293599999999998</v>
      </c>
      <c r="P33" s="18">
        <f>Test!F31</f>
        <v>32319.366999999998</v>
      </c>
      <c r="Q33" s="18">
        <f>Test!G31</f>
        <v>14.861000000000001</v>
      </c>
      <c r="R33" s="18">
        <f t="shared" si="8"/>
        <v>8.9776019444444444</v>
      </c>
      <c r="S33" s="17">
        <f t="shared" si="9"/>
        <v>1.1250026715855865</v>
      </c>
      <c r="T33" s="18">
        <f t="shared" si="10"/>
        <v>0.98967767714437938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8134.2719999999999</v>
      </c>
      <c r="E34" s="23">
        <f>Reference!C32</f>
        <v>36.9345</v>
      </c>
      <c r="F34" s="23">
        <f>Reference!D32</f>
        <v>41.656500000000001</v>
      </c>
      <c r="G34" s="23">
        <f>Reference!E32</f>
        <v>42.020800000000001</v>
      </c>
      <c r="H34" s="23">
        <f>Reference!F32</f>
        <v>19078.254000000001</v>
      </c>
      <c r="I34" s="23">
        <f>Reference!G32</f>
        <v>12.769</v>
      </c>
      <c r="J34" s="24">
        <f t="shared" si="7"/>
        <v>5.2995150000000004</v>
      </c>
      <c r="L34" s="22">
        <f>Test!B32</f>
        <v>8135.2255999999998</v>
      </c>
      <c r="M34" s="23">
        <f>Test!C32</f>
        <v>36.953899999999997</v>
      </c>
      <c r="N34" s="23">
        <f>Test!D32</f>
        <v>41.725900000000003</v>
      </c>
      <c r="O34" s="23">
        <f>Test!E32</f>
        <v>42.118899999999996</v>
      </c>
      <c r="P34" s="23">
        <f>Test!F32</f>
        <v>20157.881000000001</v>
      </c>
      <c r="Q34" s="23">
        <f>Test!G32</f>
        <v>13.012</v>
      </c>
      <c r="R34" s="23">
        <f t="shared" si="8"/>
        <v>5.599411388888889</v>
      </c>
      <c r="S34" s="17">
        <f t="shared" si="9"/>
        <v>1.0565894027828753</v>
      </c>
      <c r="T34" s="18">
        <f t="shared" si="10"/>
        <v>1.0190304644059833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54438.003199999999</v>
      </c>
      <c r="E35" s="13">
        <f>Reference!C33</f>
        <v>41.674500000000002</v>
      </c>
      <c r="F35" s="13">
        <f>Reference!D33</f>
        <v>45.6708</v>
      </c>
      <c r="G35" s="13">
        <f>Reference!E33</f>
        <v>46.1004</v>
      </c>
      <c r="H35" s="13">
        <f>Reference!F33</f>
        <v>44450.487999999998</v>
      </c>
      <c r="I35" s="13">
        <f>Reference!G33</f>
        <v>11.56</v>
      </c>
      <c r="J35" s="14">
        <f t="shared" si="7"/>
        <v>12.347357777777777</v>
      </c>
      <c r="L35" s="12">
        <f>Test!B33</f>
        <v>54273.5936</v>
      </c>
      <c r="M35" s="13">
        <f>Test!C33</f>
        <v>41.693800000000003</v>
      </c>
      <c r="N35" s="13">
        <f>Test!D33</f>
        <v>45.692700000000002</v>
      </c>
      <c r="O35" s="13">
        <f>Test!E33</f>
        <v>46.061799999999998</v>
      </c>
      <c r="P35" s="13">
        <f>Test!F33</f>
        <v>58072.964999999997</v>
      </c>
      <c r="Q35" s="13">
        <f>Test!G33</f>
        <v>12.2</v>
      </c>
      <c r="R35" s="13">
        <f t="shared" si="8"/>
        <v>16.131379166666665</v>
      </c>
      <c r="S35" s="12">
        <f t="shared" si="9"/>
        <v>1.3064640595171868</v>
      </c>
      <c r="T35" s="13">
        <f t="shared" si="10"/>
        <v>1.0553633217993079</v>
      </c>
      <c r="U35" s="90"/>
      <c r="V35" s="42">
        <f>bdrate($D35:$D38,E35:E38,$L35:$L38,M35:M38)</f>
        <v>-5.5300850003222601E-3</v>
      </c>
      <c r="W35" s="42">
        <f>bdrate($D35:$D38,F35:F38,$L35:$L38,N35:N38)</f>
        <v>-1.0362680664706359E-2</v>
      </c>
      <c r="X35" s="42">
        <f>bdrate($D35:$D38,G35:G38,$L35:$L38,O35:O38)</f>
        <v>-2.0987581672196387E-2</v>
      </c>
      <c r="Y35" s="40">
        <f>bdrateOld($D35:$D38,E35:E38,$L35:$L38,M35:M38)</f>
        <v>-5.5299828671508955E-3</v>
      </c>
      <c r="Z35" s="44">
        <f>bdrateOld($D35:$D38,F35:F38,$L35:$L38,N35:N38)</f>
        <v>-1.0441582103153713E-2</v>
      </c>
      <c r="AA35" s="45">
        <f>bdrateOld($D35:$D38,G35:G38,$L35:$L38,O35:O38)</f>
        <v>-2.0800281733171722E-2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37178.316800000001</v>
      </c>
      <c r="E36" s="18">
        <f>Reference!C34</f>
        <v>38.733400000000003</v>
      </c>
      <c r="F36" s="18">
        <f>Reference!D34</f>
        <v>43.713500000000003</v>
      </c>
      <c r="G36" s="18">
        <f>Reference!E34</f>
        <v>44.109499999999997</v>
      </c>
      <c r="H36" s="18">
        <f>Reference!F34</f>
        <v>37388.608999999997</v>
      </c>
      <c r="I36" s="18">
        <f>Reference!G34</f>
        <v>10.526999999999999</v>
      </c>
      <c r="J36" s="19">
        <f t="shared" si="7"/>
        <v>10.385724722222221</v>
      </c>
      <c r="L36" s="17">
        <f>Test!B34</f>
        <v>37083.865599999997</v>
      </c>
      <c r="M36" s="18">
        <f>Test!C34</f>
        <v>38.755299999999998</v>
      </c>
      <c r="N36" s="18">
        <f>Test!D34</f>
        <v>43.742400000000004</v>
      </c>
      <c r="O36" s="18">
        <f>Test!E34</f>
        <v>44.160600000000002</v>
      </c>
      <c r="P36" s="18">
        <f>Test!F34</f>
        <v>47695.781000000003</v>
      </c>
      <c r="Q36" s="18">
        <f>Test!G34</f>
        <v>10.664999999999999</v>
      </c>
      <c r="R36" s="18">
        <f t="shared" si="8"/>
        <v>13.248828055555556</v>
      </c>
      <c r="S36" s="17">
        <f t="shared" si="9"/>
        <v>1.275676797711303</v>
      </c>
      <c r="T36" s="18">
        <f t="shared" si="10"/>
        <v>1.0131091479053862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22070.342400000001</v>
      </c>
      <c r="E37" s="18">
        <f>Reference!C35</f>
        <v>35.3538</v>
      </c>
      <c r="F37" s="18">
        <f>Reference!D35</f>
        <v>42.060499999999998</v>
      </c>
      <c r="G37" s="18">
        <f>Reference!E35</f>
        <v>42.476599999999998</v>
      </c>
      <c r="H37" s="18">
        <f>Reference!F35</f>
        <v>29067.418000000001</v>
      </c>
      <c r="I37" s="18">
        <f>Reference!G35</f>
        <v>8.9990000000000006</v>
      </c>
      <c r="J37" s="19">
        <f t="shared" si="7"/>
        <v>8.0742827777777784</v>
      </c>
      <c r="L37" s="17">
        <f>Test!B35</f>
        <v>22058.803199999998</v>
      </c>
      <c r="M37" s="18">
        <f>Test!C35</f>
        <v>35.384</v>
      </c>
      <c r="N37" s="18">
        <f>Test!D35</f>
        <v>42.087899999999998</v>
      </c>
      <c r="O37" s="18">
        <f>Test!E35</f>
        <v>42.558199999999999</v>
      </c>
      <c r="P37" s="18">
        <f>Test!F35</f>
        <v>36369.277000000002</v>
      </c>
      <c r="Q37" s="18">
        <f>Test!G35</f>
        <v>9.1579999999999995</v>
      </c>
      <c r="R37" s="18">
        <f t="shared" si="8"/>
        <v>10.102576944444445</v>
      </c>
      <c r="S37" s="17">
        <f t="shared" si="9"/>
        <v>1.2512042521286204</v>
      </c>
      <c r="T37" s="18">
        <f t="shared" si="10"/>
        <v>1.0176686298477606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10878.752</v>
      </c>
      <c r="E38" s="23">
        <f>Reference!C36</f>
        <v>31.7271</v>
      </c>
      <c r="F38" s="23">
        <f>Reference!D36</f>
        <v>40.460099999999997</v>
      </c>
      <c r="G38" s="23">
        <f>Reference!E36</f>
        <v>40.967100000000002</v>
      </c>
      <c r="H38" s="23">
        <f>Reference!F36</f>
        <v>20682.349999999999</v>
      </c>
      <c r="I38" s="23">
        <f>Reference!G36</f>
        <v>7.2519999999999998</v>
      </c>
      <c r="J38" s="24">
        <f t="shared" si="7"/>
        <v>5.7450972222222214</v>
      </c>
      <c r="L38" s="22">
        <f>Test!B36</f>
        <v>10882.169599999999</v>
      </c>
      <c r="M38" s="23">
        <f>Test!C36</f>
        <v>31.7515</v>
      </c>
      <c r="N38" s="23">
        <f>Test!D36</f>
        <v>40.492899999999999</v>
      </c>
      <c r="O38" s="23">
        <f>Test!E36</f>
        <v>41.04</v>
      </c>
      <c r="P38" s="23">
        <f>Test!F36</f>
        <v>23844.68</v>
      </c>
      <c r="Q38" s="23">
        <f>Test!G36</f>
        <v>7.3929999999999998</v>
      </c>
      <c r="R38" s="23">
        <f t="shared" si="8"/>
        <v>6.6235222222222223</v>
      </c>
      <c r="S38" s="17">
        <f t="shared" si="9"/>
        <v>1.1528999364192174</v>
      </c>
      <c r="T38" s="18">
        <f t="shared" si="10"/>
        <v>1.0194429123000552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20598.163199999999</v>
      </c>
      <c r="E39" s="13">
        <f>Reference!C37</f>
        <v>42.6599</v>
      </c>
      <c r="F39" s="13">
        <f>Reference!D37</f>
        <v>45.416800000000002</v>
      </c>
      <c r="G39" s="13">
        <f>Reference!E37</f>
        <v>46.957099999999997</v>
      </c>
      <c r="H39" s="13">
        <f>Reference!F37</f>
        <v>27022.794999999998</v>
      </c>
      <c r="I39" s="13">
        <f>Reference!G37</f>
        <v>8.4670000000000005</v>
      </c>
      <c r="J39" s="14">
        <f t="shared" si="7"/>
        <v>7.5063319444444438</v>
      </c>
      <c r="L39" s="12">
        <f>Test!B37</f>
        <v>20431.2</v>
      </c>
      <c r="M39" s="13">
        <f>Test!C37</f>
        <v>42.6599</v>
      </c>
      <c r="N39" s="13">
        <f>Test!D37</f>
        <v>45.429200000000002</v>
      </c>
      <c r="O39" s="13">
        <f>Test!E37</f>
        <v>46.8947</v>
      </c>
      <c r="P39" s="13">
        <f>Test!F37</f>
        <v>33726.949000000001</v>
      </c>
      <c r="Q39" s="13">
        <f>Test!G37</f>
        <v>8.6440000000000001</v>
      </c>
      <c r="R39" s="13">
        <f t="shared" si="8"/>
        <v>9.3685969444444446</v>
      </c>
      <c r="S39" s="17">
        <f t="shared" si="9"/>
        <v>1.2480925455712484</v>
      </c>
      <c r="T39" s="18">
        <f t="shared" si="10"/>
        <v>1.0209046887917799</v>
      </c>
      <c r="U39" s="91"/>
      <c r="V39" s="42">
        <f>bdrate($D39:$D42,E39:E42,$L39:$L42,M39:M42)</f>
        <v>-8.0661878831120859E-3</v>
      </c>
      <c r="W39" s="42">
        <f>bdrate($D39:$D42,F39:F42,$L39:$L42,N39:N42)</f>
        <v>-2.6557276470593583E-2</v>
      </c>
      <c r="X39" s="42">
        <f>bdrate($D39:$D42,G39:G42,$L39:$L42,O39:O42)</f>
        <v>7.7427805118392978E-3</v>
      </c>
      <c r="Y39" s="40">
        <f>bdrateOld($D39:$D42,E39:E42,$L39:$L42,M39:M42)</f>
        <v>-8.0537049057647359E-3</v>
      </c>
      <c r="Z39" s="44">
        <f>bdrateOld($D39:$D42,F39:F42,$L39:$L42,N39:N42)</f>
        <v>-2.761532301603109E-2</v>
      </c>
      <c r="AA39" s="45">
        <f>bdrateOld($D39:$D42,G39:G42,$L39:$L42,O39:O42)</f>
        <v>7.8791607651131912E-3</v>
      </c>
    </row>
    <row r="40" spans="1:27" x14ac:dyDescent="0.2">
      <c r="A40" s="16"/>
      <c r="B40" s="85"/>
      <c r="C40" s="16">
        <v>32</v>
      </c>
      <c r="D40" s="17">
        <f>Reference!B38</f>
        <v>11718.777599999999</v>
      </c>
      <c r="E40" s="18">
        <f>Reference!C38</f>
        <v>40.639800000000001</v>
      </c>
      <c r="F40" s="18">
        <f>Reference!D38</f>
        <v>44.406100000000002</v>
      </c>
      <c r="G40" s="18">
        <f>Reference!E38</f>
        <v>45.254899999999999</v>
      </c>
      <c r="H40" s="18">
        <f>Reference!F38</f>
        <v>19455.886999999999</v>
      </c>
      <c r="I40" s="18">
        <f>Reference!G38</f>
        <v>7.1959999999999997</v>
      </c>
      <c r="J40" s="19">
        <f t="shared" si="7"/>
        <v>5.4044130555555556</v>
      </c>
      <c r="L40" s="17">
        <f>Test!B38</f>
        <v>11647.091200000001</v>
      </c>
      <c r="M40" s="18">
        <f>Test!C38</f>
        <v>40.648299999999999</v>
      </c>
      <c r="N40" s="18">
        <f>Test!D38</f>
        <v>44.429099999999998</v>
      </c>
      <c r="O40" s="18">
        <f>Test!E38</f>
        <v>45.200600000000001</v>
      </c>
      <c r="P40" s="18">
        <f>Test!F38</f>
        <v>23310.603999999999</v>
      </c>
      <c r="Q40" s="18">
        <f>Test!G38</f>
        <v>7.5549999999999997</v>
      </c>
      <c r="R40" s="18">
        <f t="shared" si="8"/>
        <v>6.4751677777777772</v>
      </c>
      <c r="S40" s="17">
        <f t="shared" si="9"/>
        <v>1.1981259965171467</v>
      </c>
      <c r="T40" s="18">
        <f t="shared" si="10"/>
        <v>1.0498888271261813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6482.4255999999996</v>
      </c>
      <c r="E41" s="18">
        <f>Reference!C39</f>
        <v>38.627899999999997</v>
      </c>
      <c r="F41" s="18">
        <f>Reference!D39</f>
        <v>43.337899999999998</v>
      </c>
      <c r="G41" s="18">
        <f>Reference!E39</f>
        <v>43.460799999999999</v>
      </c>
      <c r="H41" s="18">
        <f>Reference!F39</f>
        <v>13512.029</v>
      </c>
      <c r="I41" s="18">
        <f>Reference!G39</f>
        <v>6.4039999999999999</v>
      </c>
      <c r="J41" s="19">
        <f t="shared" si="7"/>
        <v>3.7533413888888889</v>
      </c>
      <c r="L41" s="17">
        <f>Test!B39</f>
        <v>6453.3631999999998</v>
      </c>
      <c r="M41" s="18">
        <f>Test!C39</f>
        <v>38.639600000000002</v>
      </c>
      <c r="N41" s="18">
        <f>Test!D39</f>
        <v>43.399000000000001</v>
      </c>
      <c r="O41" s="18">
        <f>Test!E39</f>
        <v>43.420999999999999</v>
      </c>
      <c r="P41" s="18">
        <f>Test!F39</f>
        <v>15176.055</v>
      </c>
      <c r="Q41" s="18">
        <f>Test!G39</f>
        <v>6.56</v>
      </c>
      <c r="R41" s="18">
        <f t="shared" si="8"/>
        <v>4.2155708333333335</v>
      </c>
      <c r="S41" s="17">
        <f t="shared" si="9"/>
        <v>1.1231514526796826</v>
      </c>
      <c r="T41" s="18">
        <f t="shared" si="10"/>
        <v>1.0243597751405371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3294.1504</v>
      </c>
      <c r="E42" s="23">
        <f>Reference!C40</f>
        <v>36.2393</v>
      </c>
      <c r="F42" s="23">
        <f>Reference!D40</f>
        <v>41.883200000000002</v>
      </c>
      <c r="G42" s="23">
        <f>Reference!E40</f>
        <v>41.240200000000002</v>
      </c>
      <c r="H42" s="23">
        <f>Reference!F40</f>
        <v>8547.8040000000001</v>
      </c>
      <c r="I42" s="23">
        <f>Reference!G40</f>
        <v>5.4969999999999999</v>
      </c>
      <c r="J42" s="24">
        <f t="shared" si="7"/>
        <v>2.37439</v>
      </c>
      <c r="L42" s="22">
        <f>Test!B40</f>
        <v>3285.9584</v>
      </c>
      <c r="M42" s="23">
        <f>Test!C40</f>
        <v>36.257300000000001</v>
      </c>
      <c r="N42" s="23">
        <f>Test!D40</f>
        <v>41.935099999999998</v>
      </c>
      <c r="O42" s="23">
        <f>Test!E40</f>
        <v>41.254300000000001</v>
      </c>
      <c r="P42" s="23">
        <f>Test!F40</f>
        <v>8917.9570000000003</v>
      </c>
      <c r="Q42" s="23">
        <f>Test!G40</f>
        <v>5.452</v>
      </c>
      <c r="R42" s="23">
        <f t="shared" si="8"/>
        <v>2.477210277777778</v>
      </c>
      <c r="S42" s="17">
        <f t="shared" si="9"/>
        <v>1.0433038707953528</v>
      </c>
      <c r="T42" s="18">
        <f t="shared" si="10"/>
        <v>0.99181371657267603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15439.3024</v>
      </c>
      <c r="E43" s="13">
        <f>Reference!C41</f>
        <v>44.160299999999999</v>
      </c>
      <c r="F43" s="13">
        <f>Reference!D41</f>
        <v>46.892099999999999</v>
      </c>
      <c r="G43" s="13">
        <f>Reference!E41</f>
        <v>47.795299999999997</v>
      </c>
      <c r="H43" s="13">
        <f>Reference!F41</f>
        <v>21897.949000000001</v>
      </c>
      <c r="I43" s="13">
        <f>Reference!G41</f>
        <v>7.8239999999999998</v>
      </c>
      <c r="J43" s="14">
        <f t="shared" si="7"/>
        <v>6.082763611111111</v>
      </c>
      <c r="L43" s="12">
        <f>Test!B41</f>
        <v>15384.678400000001</v>
      </c>
      <c r="M43" s="13">
        <f>Test!C41</f>
        <v>44.1691</v>
      </c>
      <c r="N43" s="13">
        <f>Test!D41</f>
        <v>46.923400000000001</v>
      </c>
      <c r="O43" s="13">
        <f>Test!E41</f>
        <v>47.805500000000002</v>
      </c>
      <c r="P43" s="13">
        <f>Test!F41</f>
        <v>26750.182000000001</v>
      </c>
      <c r="Q43" s="13">
        <f>Test!G41</f>
        <v>8.1999999999999993</v>
      </c>
      <c r="R43" s="13">
        <f t="shared" si="8"/>
        <v>7.4306061111111115</v>
      </c>
      <c r="S43" s="17">
        <f t="shared" si="9"/>
        <v>1.2215839026750861</v>
      </c>
      <c r="T43" s="18">
        <f t="shared" si="10"/>
        <v>1.0480572597137015</v>
      </c>
      <c r="U43" s="91"/>
      <c r="V43" s="42">
        <f>bdrate($D43:$D46,E43:E46,$L43:$L46,M43:M46)</f>
        <v>-4.5151286141096314E-3</v>
      </c>
      <c r="W43" s="42">
        <f>bdrate($D43:$D46,F43:F46,$L43:$L46,N43:N46)</f>
        <v>-1.5916291720088682E-2</v>
      </c>
      <c r="X43" s="42">
        <f>bdrate($D43:$D46,G43:G46,$L43:$L46,O43:O46)</f>
        <v>-9.5935607931082467E-3</v>
      </c>
      <c r="Y43" s="40">
        <f>bdrateOld($D43:$D46,E43:E46,$L43:$L46,M43:M46)</f>
        <v>-4.5049089651698626E-3</v>
      </c>
      <c r="Z43" s="44">
        <f>bdrateOld($D43:$D46,F43:F46,$L43:$L46,N43:N46)</f>
        <v>-1.5981533815820681E-2</v>
      </c>
      <c r="AA43" s="45">
        <f>bdrateOld($D43:$D46,G43:G46,$L43:$L46,O43:O46)</f>
        <v>-9.2989289974342304E-3</v>
      </c>
    </row>
    <row r="44" spans="1:27" x14ac:dyDescent="0.2">
      <c r="A44" s="16"/>
      <c r="B44" s="85"/>
      <c r="C44" s="16">
        <v>32</v>
      </c>
      <c r="D44" s="17">
        <f>Reference!B42</f>
        <v>10438.6752</v>
      </c>
      <c r="E44" s="18">
        <f>Reference!C42</f>
        <v>42.418199999999999</v>
      </c>
      <c r="F44" s="18">
        <f>Reference!D42</f>
        <v>45.6357</v>
      </c>
      <c r="G44" s="18">
        <f>Reference!E42</f>
        <v>46.316499999999998</v>
      </c>
      <c r="H44" s="18">
        <f>Reference!F42</f>
        <v>17231.004000000001</v>
      </c>
      <c r="I44" s="18">
        <f>Reference!G42</f>
        <v>7.35</v>
      </c>
      <c r="J44" s="19">
        <f t="shared" si="7"/>
        <v>4.7863899999999999</v>
      </c>
      <c r="L44" s="17">
        <f>Test!B42</f>
        <v>10416.4928</v>
      </c>
      <c r="M44" s="18">
        <f>Test!C42</f>
        <v>42.432400000000001</v>
      </c>
      <c r="N44" s="18">
        <f>Test!D42</f>
        <v>45.685200000000002</v>
      </c>
      <c r="O44" s="18">
        <f>Test!E42</f>
        <v>46.345999999999997</v>
      </c>
      <c r="P44" s="18">
        <f>Test!F42</f>
        <v>20040.967000000001</v>
      </c>
      <c r="Q44" s="18">
        <f>Test!G42</f>
        <v>7.5129999999999999</v>
      </c>
      <c r="R44" s="18">
        <f t="shared" si="8"/>
        <v>5.5669352777777776</v>
      </c>
      <c r="S44" s="17">
        <f t="shared" si="9"/>
        <v>1.1630759879110932</v>
      </c>
      <c r="T44" s="18">
        <f t="shared" si="10"/>
        <v>1.0221768707482994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6580.7871999999998</v>
      </c>
      <c r="E45" s="18">
        <f>Reference!C43</f>
        <v>40.067399999999999</v>
      </c>
      <c r="F45" s="18">
        <f>Reference!D43</f>
        <v>44.2273</v>
      </c>
      <c r="G45" s="18">
        <f>Reference!E43</f>
        <v>44.7286</v>
      </c>
      <c r="H45" s="18">
        <f>Reference!F43</f>
        <v>12715.041999999999</v>
      </c>
      <c r="I45" s="18">
        <f>Reference!G43</f>
        <v>6.3929999999999998</v>
      </c>
      <c r="J45" s="19">
        <f t="shared" si="7"/>
        <v>3.5319561111111111</v>
      </c>
      <c r="L45" s="17">
        <f>Test!B43</f>
        <v>6575.7951999999996</v>
      </c>
      <c r="M45" s="18">
        <f>Test!C43</f>
        <v>40.086199999999998</v>
      </c>
      <c r="N45" s="18">
        <f>Test!D43</f>
        <v>44.280299999999997</v>
      </c>
      <c r="O45" s="18">
        <f>Test!E43</f>
        <v>44.752099999999999</v>
      </c>
      <c r="P45" s="18">
        <f>Test!F43</f>
        <v>14257.96</v>
      </c>
      <c r="Q45" s="18">
        <f>Test!G43</f>
        <v>6.6260000000000003</v>
      </c>
      <c r="R45" s="18">
        <f t="shared" si="8"/>
        <v>3.9605444444444444</v>
      </c>
      <c r="S45" s="17">
        <f t="shared" si="9"/>
        <v>1.1213458830887071</v>
      </c>
      <c r="T45" s="18">
        <f t="shared" si="10"/>
        <v>1.0364461129360238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3802.4895999999999</v>
      </c>
      <c r="E46" s="23">
        <f>Reference!C44</f>
        <v>37.063800000000001</v>
      </c>
      <c r="F46" s="23">
        <f>Reference!D44</f>
        <v>42.4146</v>
      </c>
      <c r="G46" s="23">
        <f>Reference!E44</f>
        <v>42.758299999999998</v>
      </c>
      <c r="H46" s="23">
        <f>Reference!F44</f>
        <v>8660.8870000000006</v>
      </c>
      <c r="I46" s="23">
        <f>Reference!G44</f>
        <v>5.55</v>
      </c>
      <c r="J46" s="24">
        <f t="shared" si="7"/>
        <v>2.4058019444444447</v>
      </c>
      <c r="L46" s="22">
        <f>Test!B44</f>
        <v>3802.5472</v>
      </c>
      <c r="M46" s="23">
        <f>Test!C44</f>
        <v>37.0837</v>
      </c>
      <c r="N46" s="23">
        <f>Test!D44</f>
        <v>42.4482</v>
      </c>
      <c r="O46" s="23">
        <f>Test!E44</f>
        <v>42.819299999999998</v>
      </c>
      <c r="P46" s="23">
        <f>Test!F44</f>
        <v>9378.6350000000002</v>
      </c>
      <c r="Q46" s="23">
        <f>Test!G44</f>
        <v>5.7169999999999996</v>
      </c>
      <c r="R46" s="23">
        <f t="shared" si="8"/>
        <v>2.6051763888888888</v>
      </c>
      <c r="S46" s="17">
        <f t="shared" si="9"/>
        <v>1.082872343213807</v>
      </c>
      <c r="T46" s="18">
        <f t="shared" si="10"/>
        <v>1.03009009009009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16625.900799999999</v>
      </c>
      <c r="E47" s="13">
        <f>Reference!C45</f>
        <v>44.1068</v>
      </c>
      <c r="F47" s="13">
        <f>Reference!D45</f>
        <v>48.406100000000002</v>
      </c>
      <c r="G47" s="13">
        <f>Reference!E45</f>
        <v>48.1387</v>
      </c>
      <c r="H47" s="13">
        <f>Reference!F45</f>
        <v>21975.638999999999</v>
      </c>
      <c r="I47" s="13">
        <f>Reference!G45</f>
        <v>7.7240000000000002</v>
      </c>
      <c r="J47" s="14">
        <f>H47/3600</f>
        <v>6.1043441666666665</v>
      </c>
      <c r="L47" s="12">
        <f>Test!B45</f>
        <v>16595.833600000002</v>
      </c>
      <c r="M47" s="13">
        <f>Test!C45</f>
        <v>44.115699999999997</v>
      </c>
      <c r="N47" s="13">
        <f>Test!D45</f>
        <v>48.428199999999997</v>
      </c>
      <c r="O47" s="13">
        <f>Test!E45</f>
        <v>48.146299999999997</v>
      </c>
      <c r="P47" s="13">
        <f>Test!F45</f>
        <v>26405.303</v>
      </c>
      <c r="Q47" s="13">
        <f>Test!G45</f>
        <v>7.94</v>
      </c>
      <c r="R47" s="13">
        <f>P47/3600</f>
        <v>7.3348063888888886</v>
      </c>
      <c r="S47" s="17">
        <f>P47/H47</f>
        <v>1.2015715674979919</v>
      </c>
      <c r="T47" s="18">
        <f>Q47/I47</f>
        <v>1.0279647850854481</v>
      </c>
      <c r="U47" s="91"/>
      <c r="V47" s="42">
        <f>bdrate($D47:$D50,E47:E50,$L47:$L50,M47:M50)</f>
        <v>-3.3392762378635643E-3</v>
      </c>
      <c r="W47" s="42">
        <f>bdrate($D47:$D50,F47:F50,$L47:$L50,N47:N50)</f>
        <v>-1.4882671733970843E-2</v>
      </c>
      <c r="X47" s="43">
        <f>bdrate($D47:$D50,G47:G50,$L47:$L50,O47:O50)</f>
        <v>-8.3489928146398551E-3</v>
      </c>
      <c r="Y47" s="37">
        <f>bdrateOld($D47:$D50,E47:E50,$L47:$L50,M47:M50)</f>
        <v>-3.2791436796049123E-3</v>
      </c>
      <c r="Z47" s="42">
        <f>bdrateOld($D47:$D50,F47:F50,$L47:$L50,N47:N50)</f>
        <v>-1.441199898113843E-2</v>
      </c>
      <c r="AA47" s="43">
        <f>bdrateOld($D47:$D50,G47:G50,$L47:$L50,O47:O50)</f>
        <v>-8.2862766081107653E-3</v>
      </c>
    </row>
    <row r="48" spans="1:27" x14ac:dyDescent="0.2">
      <c r="A48" s="16"/>
      <c r="B48" s="85"/>
      <c r="C48" s="16">
        <v>32</v>
      </c>
      <c r="D48" s="17">
        <f>Reference!B46</f>
        <v>11531.8784</v>
      </c>
      <c r="E48" s="18">
        <f>Reference!C46</f>
        <v>42.3538</v>
      </c>
      <c r="F48" s="18">
        <f>Reference!D46</f>
        <v>47.254399999999997</v>
      </c>
      <c r="G48" s="18">
        <f>Reference!E46</f>
        <v>46.472900000000003</v>
      </c>
      <c r="H48" s="18">
        <f>Reference!F46</f>
        <v>17289.555</v>
      </c>
      <c r="I48" s="18">
        <f>Reference!G46</f>
        <v>6.9539999999999997</v>
      </c>
      <c r="J48" s="19">
        <f t="shared" ref="J48:J70" si="11">H48/3600</f>
        <v>4.8026541666666667</v>
      </c>
      <c r="L48" s="17">
        <f>Test!B46</f>
        <v>11519.3472</v>
      </c>
      <c r="M48" s="18">
        <f>Test!C46</f>
        <v>42.369199999999999</v>
      </c>
      <c r="N48" s="18">
        <f>Test!D46</f>
        <v>47.291600000000003</v>
      </c>
      <c r="O48" s="18">
        <f>Test!E46</f>
        <v>46.506599999999999</v>
      </c>
      <c r="P48" s="18">
        <f>Test!F46</f>
        <v>20331.476999999999</v>
      </c>
      <c r="Q48" s="18">
        <f>Test!G46</f>
        <v>6.9560000000000004</v>
      </c>
      <c r="R48" s="18">
        <f t="shared" ref="R48:R70" si="12">P48/3600</f>
        <v>5.6476324999999994</v>
      </c>
      <c r="S48" s="17">
        <f t="shared" ref="S48:S70" si="13">P48/H48</f>
        <v>1.1759398665841891</v>
      </c>
      <c r="T48" s="18">
        <f t="shared" ref="T48:T70" si="14">Q48/I48</f>
        <v>1.0002876042565432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7469.0432000000001</v>
      </c>
      <c r="E49" s="18">
        <f>Reference!C47</f>
        <v>39.949199999999998</v>
      </c>
      <c r="F49" s="18">
        <f>Reference!D47</f>
        <v>46.035800000000002</v>
      </c>
      <c r="G49" s="18">
        <f>Reference!E47</f>
        <v>44.610199999999999</v>
      </c>
      <c r="H49" s="18">
        <f>Reference!F47</f>
        <v>13149.287</v>
      </c>
      <c r="I49" s="18">
        <f>Reference!G47</f>
        <v>6.2160000000000002</v>
      </c>
      <c r="J49" s="19">
        <f t="shared" si="11"/>
        <v>3.6525797222222223</v>
      </c>
      <c r="L49" s="17">
        <f>Test!B47</f>
        <v>7478.5536000000002</v>
      </c>
      <c r="M49" s="18">
        <f>Test!C47</f>
        <v>39.9756</v>
      </c>
      <c r="N49" s="18">
        <f>Test!D47</f>
        <v>46.081200000000003</v>
      </c>
      <c r="O49" s="18">
        <f>Test!E47</f>
        <v>44.655299999999997</v>
      </c>
      <c r="P49" s="18">
        <f>Test!F47</f>
        <v>14992.552</v>
      </c>
      <c r="Q49" s="18">
        <f>Test!G47</f>
        <v>6.2709999999999999</v>
      </c>
      <c r="R49" s="18">
        <f t="shared" si="12"/>
        <v>4.1645977777777778</v>
      </c>
      <c r="S49" s="17">
        <f t="shared" si="13"/>
        <v>1.1401798439717681</v>
      </c>
      <c r="T49" s="18">
        <f t="shared" si="14"/>
        <v>1.0088481338481339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4341.6319999999996</v>
      </c>
      <c r="E50" s="23">
        <f>Reference!C48</f>
        <v>36.726999999999997</v>
      </c>
      <c r="F50" s="23">
        <f>Reference!D48</f>
        <v>44.261400000000002</v>
      </c>
      <c r="G50" s="23">
        <f>Reference!E48</f>
        <v>42.269599999999997</v>
      </c>
      <c r="H50" s="23">
        <f>Reference!F48</f>
        <v>9314.8690000000006</v>
      </c>
      <c r="I50" s="23">
        <f>Reference!G48</f>
        <v>5.4109999999999996</v>
      </c>
      <c r="J50" s="24">
        <f t="shared" si="11"/>
        <v>2.5874636111111111</v>
      </c>
      <c r="L50" s="22">
        <f>Test!B48</f>
        <v>4343.1040000000003</v>
      </c>
      <c r="M50" s="23">
        <f>Test!C48</f>
        <v>36.741199999999999</v>
      </c>
      <c r="N50" s="23">
        <f>Test!D48</f>
        <v>44.346800000000002</v>
      </c>
      <c r="O50" s="23">
        <f>Test!E48</f>
        <v>42.308</v>
      </c>
      <c r="P50" s="23">
        <f>Test!F48</f>
        <v>10074.628000000001</v>
      </c>
      <c r="Q50" s="23">
        <f>Test!G48</f>
        <v>5.55</v>
      </c>
      <c r="R50" s="23">
        <f t="shared" si="12"/>
        <v>2.798507777777778</v>
      </c>
      <c r="S50" s="22">
        <f t="shared" si="13"/>
        <v>1.0815641100266682</v>
      </c>
      <c r="T50" s="23">
        <f t="shared" si="14"/>
        <v>1.0256884124930696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80440.749500000005</v>
      </c>
      <c r="E59" s="13">
        <f>Reference!C57</f>
        <v>44.672899999999998</v>
      </c>
      <c r="F59" s="13">
        <f>Reference!D57</f>
        <v>43.442799999999998</v>
      </c>
      <c r="G59" s="13">
        <f>Reference!E57</f>
        <v>43.5501</v>
      </c>
      <c r="H59" s="13">
        <f>Reference!F57</f>
        <v>62350.73</v>
      </c>
      <c r="I59" s="13">
        <f>Reference!G57</f>
        <v>9.3569999999999993</v>
      </c>
      <c r="J59" s="14">
        <f t="shared" si="11"/>
        <v>17.319647222222223</v>
      </c>
      <c r="L59" s="12">
        <f>Test!B57</f>
        <v>69282.656799999997</v>
      </c>
      <c r="M59" s="13">
        <f>Test!C57</f>
        <v>46.615099999999998</v>
      </c>
      <c r="N59" s="13">
        <f>Test!D57</f>
        <v>43.710700000000003</v>
      </c>
      <c r="O59" s="13">
        <f>Test!E57</f>
        <v>43.637099999999997</v>
      </c>
      <c r="P59" s="13">
        <f>Test!F57</f>
        <v>63691.394999999997</v>
      </c>
      <c r="Q59" s="13">
        <f>Test!G57</f>
        <v>8.8940000000000001</v>
      </c>
      <c r="R59" s="13">
        <f t="shared" si="12"/>
        <v>17.692054166666665</v>
      </c>
      <c r="S59" s="12">
        <f t="shared" si="13"/>
        <v>1.0215019936414536</v>
      </c>
      <c r="T59" s="13">
        <f t="shared" si="14"/>
        <v>0.95051832852409968</v>
      </c>
      <c r="U59" s="90"/>
      <c r="V59" s="42">
        <f>bdrate($D59:$D62,E59:E62,$L59:$L62,M59:M62)</f>
        <v>-0.20894716972176453</v>
      </c>
      <c r="W59" s="42">
        <f>bdrate($D59:$D62,F59:F62,$L59:$L62,N59:N62)</f>
        <v>-0.12103929197253072</v>
      </c>
      <c r="X59" s="42">
        <f>bdrate($D59:$D62,G59:G62,$L59:$L62,O59:O62)</f>
        <v>-0.11766328285739769</v>
      </c>
      <c r="Y59" s="40">
        <f>bdrateOld($D59:$D62,E59:E62,$L59:$L62,M59:M62)</f>
        <v>-0.20828128031960458</v>
      </c>
      <c r="Z59" s="44">
        <f>bdrateOld($D59:$D62,F59:F62,$L59:$L62,N59:N62)</f>
        <v>-0.1212077828842576</v>
      </c>
      <c r="AA59" s="45">
        <f>bdrateOld($D59:$D62,G59:G62,$L59:$L62,O59:O62)</f>
        <v>-0.11785454345016533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61232.349499999997</v>
      </c>
      <c r="E60" s="18">
        <f>Reference!C58</f>
        <v>41.117800000000003</v>
      </c>
      <c r="F60" s="18">
        <f>Reference!D58</f>
        <v>40.478900000000003</v>
      </c>
      <c r="G60" s="18">
        <f>Reference!E58</f>
        <v>40.665399999999998</v>
      </c>
      <c r="H60" s="18">
        <f>Reference!F58</f>
        <v>59604.472999999998</v>
      </c>
      <c r="I60" s="18">
        <f>Reference!G58</f>
        <v>9.1739999999999995</v>
      </c>
      <c r="J60" s="19">
        <f t="shared" si="11"/>
        <v>16.556798055555554</v>
      </c>
      <c r="L60" s="17">
        <f>Test!B58</f>
        <v>54079.414700000001</v>
      </c>
      <c r="M60" s="18">
        <f>Test!C58</f>
        <v>43.089500000000001</v>
      </c>
      <c r="N60" s="18">
        <f>Test!D58</f>
        <v>40.7727</v>
      </c>
      <c r="O60" s="18">
        <f>Test!E58</f>
        <v>40.886400000000002</v>
      </c>
      <c r="P60" s="18">
        <f>Test!F58</f>
        <v>60718.796999999999</v>
      </c>
      <c r="Q60" s="18">
        <f>Test!G58</f>
        <v>8.5389999999999997</v>
      </c>
      <c r="R60" s="18">
        <f t="shared" si="12"/>
        <v>16.866332499999999</v>
      </c>
      <c r="S60" s="17">
        <f t="shared" si="13"/>
        <v>1.018695308320233</v>
      </c>
      <c r="T60" s="18">
        <f t="shared" si="14"/>
        <v>0.93078264660998478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43196.791599999997</v>
      </c>
      <c r="E61" s="18">
        <f>Reference!C59</f>
        <v>37.142499999999998</v>
      </c>
      <c r="F61" s="18">
        <f>Reference!D59</f>
        <v>37.895499999999998</v>
      </c>
      <c r="G61" s="18">
        <f>Reference!E59</f>
        <v>38.113100000000003</v>
      </c>
      <c r="H61" s="18">
        <f>Reference!F59</f>
        <v>55280.565999999999</v>
      </c>
      <c r="I61" s="18">
        <f>Reference!G59</f>
        <v>8.5079999999999991</v>
      </c>
      <c r="J61" s="19">
        <f t="shared" si="11"/>
        <v>15.355712777777777</v>
      </c>
      <c r="L61" s="17">
        <f>Test!B59</f>
        <v>39978.341099999998</v>
      </c>
      <c r="M61" s="18">
        <f>Test!C59</f>
        <v>38.821300000000001</v>
      </c>
      <c r="N61" s="18">
        <f>Test!D59</f>
        <v>38.154600000000002</v>
      </c>
      <c r="O61" s="18">
        <f>Test!E59</f>
        <v>38.360700000000001</v>
      </c>
      <c r="P61" s="18">
        <f>Test!F59</f>
        <v>56254.059000000001</v>
      </c>
      <c r="Q61" s="18">
        <f>Test!G59</f>
        <v>8.36</v>
      </c>
      <c r="R61" s="18">
        <f t="shared" si="12"/>
        <v>15.626127500000001</v>
      </c>
      <c r="S61" s="17">
        <f t="shared" si="13"/>
        <v>1.0176100403892392</v>
      </c>
      <c r="T61" s="18">
        <f t="shared" si="14"/>
        <v>0.9826046074283028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27848.437900000001</v>
      </c>
      <c r="E62" s="23">
        <f>Reference!C60</f>
        <v>32.790100000000002</v>
      </c>
      <c r="F62" s="23">
        <f>Reference!D60</f>
        <v>34.988999999999997</v>
      </c>
      <c r="G62" s="23">
        <f>Reference!E60</f>
        <v>35.350700000000003</v>
      </c>
      <c r="H62" s="23">
        <f>Reference!F60</f>
        <v>47928.917999999998</v>
      </c>
      <c r="I62" s="23">
        <f>Reference!G60</f>
        <v>7.3369999999999997</v>
      </c>
      <c r="J62" s="24">
        <f t="shared" si="11"/>
        <v>13.313588333333334</v>
      </c>
      <c r="L62" s="22">
        <f>Test!B60</f>
        <v>26959.376799999998</v>
      </c>
      <c r="M62" s="23">
        <f>Test!C60</f>
        <v>34.009599999999999</v>
      </c>
      <c r="N62" s="23">
        <f>Test!D60</f>
        <v>35.179299999999998</v>
      </c>
      <c r="O62" s="23">
        <f>Test!E60</f>
        <v>35.530200000000001</v>
      </c>
      <c r="P62" s="23">
        <f>Test!F60</f>
        <v>49156.620999999999</v>
      </c>
      <c r="Q62" s="23">
        <f>Test!G60</f>
        <v>7.5309999999999997</v>
      </c>
      <c r="R62" s="23">
        <f t="shared" si="12"/>
        <v>13.654616944444443</v>
      </c>
      <c r="S62" s="17">
        <f t="shared" si="13"/>
        <v>1.0256150785628</v>
      </c>
      <c r="T62" s="18">
        <f t="shared" si="14"/>
        <v>1.0264413247921493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75014.515199999994</v>
      </c>
      <c r="E63" s="13">
        <f>Reference!C61</f>
        <v>45.359099999999998</v>
      </c>
      <c r="F63" s="13">
        <f>Reference!D61</f>
        <v>43.674100000000003</v>
      </c>
      <c r="G63" s="13">
        <f>Reference!E61</f>
        <v>43.8857</v>
      </c>
      <c r="H63" s="13">
        <f>Reference!F61</f>
        <v>130462.43</v>
      </c>
      <c r="I63" s="13">
        <f>Reference!G61</f>
        <v>16.338999999999999</v>
      </c>
      <c r="J63" s="14">
        <f t="shared" si="11"/>
        <v>36.239563888888888</v>
      </c>
      <c r="L63" s="12">
        <f>Test!B61</f>
        <v>52847.526400000002</v>
      </c>
      <c r="M63" s="13">
        <f>Test!C61</f>
        <v>48.509300000000003</v>
      </c>
      <c r="N63" s="13">
        <f>Test!D61</f>
        <v>44.1599</v>
      </c>
      <c r="O63" s="13">
        <f>Test!E61</f>
        <v>43.9084</v>
      </c>
      <c r="P63" s="13">
        <f>Test!F61</f>
        <v>121658.992</v>
      </c>
      <c r="Q63" s="13">
        <f>Test!G61</f>
        <v>14.535</v>
      </c>
      <c r="R63" s="13">
        <f t="shared" si="12"/>
        <v>33.794164444444441</v>
      </c>
      <c r="S63" s="17">
        <f t="shared" si="13"/>
        <v>0.93252127834810383</v>
      </c>
      <c r="T63" s="18">
        <f t="shared" si="14"/>
        <v>0.88958932615215136</v>
      </c>
      <c r="U63" s="91"/>
      <c r="V63" s="42">
        <f>bdrate($D63:$D66,E63:E66,$L63:$L66,M63:M66)</f>
        <v>-0.36114391597005668</v>
      </c>
      <c r="W63" s="42">
        <f>bdrate($D63:$D66,F63:F66,$L63:$L66,N63:N66)</f>
        <v>-0.27029053521974966</v>
      </c>
      <c r="X63" s="42">
        <f>bdrate($D63:$D66,G63:G66,$L63:$L66,O63:O66)</f>
        <v>-0.26886927192111898</v>
      </c>
      <c r="Y63" s="40">
        <f>bdrateOld($D63:$D66,E63:E66,$L63:$L66,M63:M66)</f>
        <v>-0.36118265537909122</v>
      </c>
      <c r="Z63" s="44">
        <f>bdrateOld($D63:$D66,F63:F66,$L63:$L66,N63:N66)</f>
        <v>-0.27082555864498725</v>
      </c>
      <c r="AA63" s="45">
        <f>bdrateOld($D63:$D66,G63:G66,$L63:$L66,O63:O66)</f>
        <v>-0.26963001506252682</v>
      </c>
    </row>
    <row r="64" spans="1:27" x14ac:dyDescent="0.2">
      <c r="A64" s="16"/>
      <c r="B64" s="85"/>
      <c r="C64" s="16">
        <v>32</v>
      </c>
      <c r="D64" s="17">
        <f>Reference!B62</f>
        <v>59854.656000000003</v>
      </c>
      <c r="E64" s="18">
        <f>Reference!C62</f>
        <v>41.442399999999999</v>
      </c>
      <c r="F64" s="18">
        <f>Reference!D62</f>
        <v>40.76</v>
      </c>
      <c r="G64" s="18">
        <f>Reference!E62</f>
        <v>40.963700000000003</v>
      </c>
      <c r="H64" s="18">
        <f>Reference!F62</f>
        <v>129425.742</v>
      </c>
      <c r="I64" s="18">
        <f>Reference!G62</f>
        <v>15.888</v>
      </c>
      <c r="J64" s="19">
        <f t="shared" si="11"/>
        <v>35.951594999999998</v>
      </c>
      <c r="L64" s="17">
        <f>Test!B62</f>
        <v>43431.910400000001</v>
      </c>
      <c r="M64" s="18">
        <f>Test!C62</f>
        <v>44.6693</v>
      </c>
      <c r="N64" s="18">
        <f>Test!D62</f>
        <v>41.1845</v>
      </c>
      <c r="O64" s="18">
        <f>Test!E62</f>
        <v>41.275500000000001</v>
      </c>
      <c r="P64" s="18">
        <f>Test!F62</f>
        <v>120161.523</v>
      </c>
      <c r="Q64" s="18">
        <f>Test!G62</f>
        <v>13.436999999999999</v>
      </c>
      <c r="R64" s="18">
        <f t="shared" si="12"/>
        <v>33.378200833333331</v>
      </c>
      <c r="S64" s="17">
        <f t="shared" si="13"/>
        <v>0.92842058421422846</v>
      </c>
      <c r="T64" s="18">
        <f t="shared" si="14"/>
        <v>0.84573262839879149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44453.696000000004</v>
      </c>
      <c r="E65" s="18">
        <f>Reference!C63</f>
        <v>36.989699999999999</v>
      </c>
      <c r="F65" s="18">
        <f>Reference!D63</f>
        <v>38.392899999999997</v>
      </c>
      <c r="G65" s="18">
        <f>Reference!E63</f>
        <v>38.689399999999999</v>
      </c>
      <c r="H65" s="18">
        <f>Reference!F63</f>
        <v>125420.242</v>
      </c>
      <c r="I65" s="18">
        <f>Reference!G63</f>
        <v>14.483000000000001</v>
      </c>
      <c r="J65" s="19">
        <f t="shared" si="11"/>
        <v>34.838956111111109</v>
      </c>
      <c r="L65" s="17">
        <f>Test!B63</f>
        <v>35272.192000000003</v>
      </c>
      <c r="M65" s="18">
        <f>Test!C63</f>
        <v>40.419499999999999</v>
      </c>
      <c r="N65" s="18">
        <f>Test!D63</f>
        <v>38.757399999999997</v>
      </c>
      <c r="O65" s="18">
        <f>Test!E63</f>
        <v>39.084699999999998</v>
      </c>
      <c r="P65" s="18">
        <f>Test!F63</f>
        <v>114603.648</v>
      </c>
      <c r="Q65" s="18">
        <f>Test!G63</f>
        <v>13.124000000000001</v>
      </c>
      <c r="R65" s="18">
        <f t="shared" si="12"/>
        <v>31.834346666666669</v>
      </c>
      <c r="S65" s="17">
        <f t="shared" si="13"/>
        <v>0.91375719080497386</v>
      </c>
      <c r="T65" s="18">
        <f t="shared" si="14"/>
        <v>0.90616584961679214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31160.070400000001</v>
      </c>
      <c r="E66" s="23">
        <f>Reference!C64</f>
        <v>32.01</v>
      </c>
      <c r="F66" s="23">
        <f>Reference!D64</f>
        <v>36.189900000000002</v>
      </c>
      <c r="G66" s="23">
        <f>Reference!E64</f>
        <v>36.491799999999998</v>
      </c>
      <c r="H66" s="23">
        <f>Reference!F64</f>
        <v>118505.94500000001</v>
      </c>
      <c r="I66" s="23">
        <f>Reference!G64</f>
        <v>14.425000000000001</v>
      </c>
      <c r="J66" s="24">
        <f t="shared" si="11"/>
        <v>32.918318055555559</v>
      </c>
      <c r="L66" s="22">
        <f>Test!B64</f>
        <v>27230.495999999999</v>
      </c>
      <c r="M66" s="23">
        <f>Test!C64</f>
        <v>34.906700000000001</v>
      </c>
      <c r="N66" s="23">
        <f>Test!D64</f>
        <v>36.479700000000001</v>
      </c>
      <c r="O66" s="23">
        <f>Test!E64</f>
        <v>36.888399999999997</v>
      </c>
      <c r="P66" s="23">
        <f>Test!F64</f>
        <v>108391.516</v>
      </c>
      <c r="Q66" s="23">
        <f>Test!G64</f>
        <v>14.173</v>
      </c>
      <c r="R66" s="23">
        <f t="shared" si="12"/>
        <v>30.108754444444447</v>
      </c>
      <c r="S66" s="17">
        <f t="shared" si="13"/>
        <v>0.91465045065882555</v>
      </c>
      <c r="T66" s="18">
        <f t="shared" si="14"/>
        <v>0.98253032928942807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78186.0288</v>
      </c>
      <c r="E67" s="13">
        <f>Reference!C65</f>
        <v>42.616399999999999</v>
      </c>
      <c r="F67" s="13">
        <f>Reference!D65</f>
        <v>43.768599999999999</v>
      </c>
      <c r="G67" s="13">
        <f>Reference!E65</f>
        <v>44.254800000000003</v>
      </c>
      <c r="H67" s="13">
        <f>Reference!F65</f>
        <v>90531.101999999999</v>
      </c>
      <c r="I67" s="13">
        <f>Reference!G65</f>
        <v>23.782</v>
      </c>
      <c r="J67" s="14">
        <f t="shared" si="11"/>
        <v>25.147528333333334</v>
      </c>
      <c r="L67" s="12">
        <f>Test!B65</f>
        <v>77492.543999999994</v>
      </c>
      <c r="M67" s="13">
        <f>Test!C65</f>
        <v>42.645299999999999</v>
      </c>
      <c r="N67" s="13">
        <f>Test!D65</f>
        <v>43.8127</v>
      </c>
      <c r="O67" s="13">
        <f>Test!E65</f>
        <v>44.097999999999999</v>
      </c>
      <c r="P67" s="13">
        <f>Test!F65</f>
        <v>107156.42200000001</v>
      </c>
      <c r="Q67" s="13">
        <f>Test!G65</f>
        <v>24.568000000000001</v>
      </c>
      <c r="R67" s="13">
        <f t="shared" si="12"/>
        <v>29.76567277777778</v>
      </c>
      <c r="S67" s="17">
        <f t="shared" si="13"/>
        <v>1.1836420813700026</v>
      </c>
      <c r="T67" s="18">
        <f t="shared" si="14"/>
        <v>1.0330502060381801</v>
      </c>
      <c r="U67" s="91"/>
      <c r="V67" s="42">
        <f>bdrate($D67:$D70,E67:E70,$L67:$L70,M67:M70)</f>
        <v>-1.1897630027634887E-2</v>
      </c>
      <c r="W67" s="42">
        <f>bdrate($D67:$D70,F67:F70,$L67:$L70,N67:N70)</f>
        <v>-1.9229748109702349E-2</v>
      </c>
      <c r="X67" s="42">
        <f>bdrate($D67:$D70,G67:G70,$L67:$L70,O67:O70)</f>
        <v>1.0884244252446829E-2</v>
      </c>
      <c r="Y67" s="40">
        <f>bdrateOld($D67:$D70,E67:E70,$L67:$L70,M67:M70)</f>
        <v>-1.1903631451850916E-2</v>
      </c>
      <c r="Z67" s="44">
        <f>bdrateOld($D67:$D70,F67:F70,$L67:$L70,N67:N70)</f>
        <v>-1.9267333942570852E-2</v>
      </c>
      <c r="AA67" s="45">
        <f>bdrateOld($D67:$D70,G67:G70,$L67:$L70,O67:O70)</f>
        <v>1.1106432615041628E-2</v>
      </c>
    </row>
    <row r="68" spans="1:27" x14ac:dyDescent="0.2">
      <c r="A68" s="16"/>
      <c r="B68" s="85"/>
      <c r="C68" s="16">
        <v>32</v>
      </c>
      <c r="D68" s="17">
        <f>Reference!B66</f>
        <v>51433.382400000002</v>
      </c>
      <c r="E68" s="18">
        <f>Reference!C66</f>
        <v>40.070300000000003</v>
      </c>
      <c r="F68" s="18">
        <f>Reference!D66</f>
        <v>41.685000000000002</v>
      </c>
      <c r="G68" s="18">
        <f>Reference!E66</f>
        <v>42.000700000000002</v>
      </c>
      <c r="H68" s="18">
        <f>Reference!F66</f>
        <v>71002</v>
      </c>
      <c r="I68" s="18">
        <f>Reference!G66</f>
        <v>20.853999999999999</v>
      </c>
      <c r="J68" s="19">
        <f t="shared" si="11"/>
        <v>19.722777777777779</v>
      </c>
      <c r="L68" s="17">
        <f>Test!B66</f>
        <v>51035.430399999997</v>
      </c>
      <c r="M68" s="18">
        <f>Test!C66</f>
        <v>40.098399999999998</v>
      </c>
      <c r="N68" s="18">
        <f>Test!D66</f>
        <v>41.737000000000002</v>
      </c>
      <c r="O68" s="18">
        <f>Test!E66</f>
        <v>41.884999999999998</v>
      </c>
      <c r="P68" s="18">
        <f>Test!F66</f>
        <v>81763.781000000003</v>
      </c>
      <c r="Q68" s="18">
        <f>Test!G66</f>
        <v>21.22</v>
      </c>
      <c r="R68" s="18">
        <f t="shared" si="12"/>
        <v>22.712161388888891</v>
      </c>
      <c r="S68" s="17">
        <f t="shared" si="13"/>
        <v>1.1515701107011072</v>
      </c>
      <c r="T68" s="18">
        <f t="shared" si="14"/>
        <v>1.0175505898149035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30615.8976</v>
      </c>
      <c r="E69" s="18">
        <f>Reference!C67</f>
        <v>37.158299999999997</v>
      </c>
      <c r="F69" s="18">
        <f>Reference!D67</f>
        <v>39.642499999999998</v>
      </c>
      <c r="G69" s="18">
        <f>Reference!E67</f>
        <v>39.7774</v>
      </c>
      <c r="H69" s="18">
        <f>Reference!F67</f>
        <v>51786.762000000002</v>
      </c>
      <c r="I69" s="18">
        <f>Reference!G67</f>
        <v>18.210999999999999</v>
      </c>
      <c r="J69" s="19">
        <f t="shared" si="11"/>
        <v>14.385211666666667</v>
      </c>
      <c r="L69" s="17">
        <f>Test!B67</f>
        <v>30446.912</v>
      </c>
      <c r="M69" s="18">
        <f>Test!C67</f>
        <v>37.190800000000003</v>
      </c>
      <c r="N69" s="18">
        <f>Test!D67</f>
        <v>39.700400000000002</v>
      </c>
      <c r="O69" s="18">
        <f>Test!E67</f>
        <v>39.702300000000001</v>
      </c>
      <c r="P69" s="18">
        <f>Test!F67</f>
        <v>56925.52</v>
      </c>
      <c r="Q69" s="18">
        <f>Test!G67</f>
        <v>18.265999999999998</v>
      </c>
      <c r="R69" s="18">
        <f t="shared" si="12"/>
        <v>15.812644444444443</v>
      </c>
      <c r="S69" s="17">
        <f t="shared" si="13"/>
        <v>1.0992291813880928</v>
      </c>
      <c r="T69" s="18">
        <f t="shared" si="14"/>
        <v>1.0030201526549887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16183.475200000001</v>
      </c>
      <c r="E70" s="23">
        <f>Reference!C68</f>
        <v>34.009500000000003</v>
      </c>
      <c r="F70" s="23">
        <f>Reference!D68</f>
        <v>37.250100000000003</v>
      </c>
      <c r="G70" s="23">
        <f>Reference!E68</f>
        <v>37.239600000000003</v>
      </c>
      <c r="H70" s="23">
        <f>Reference!F68</f>
        <v>33841.167999999998</v>
      </c>
      <c r="I70" s="23">
        <f>Reference!G68</f>
        <v>15.311</v>
      </c>
      <c r="J70" s="24">
        <f t="shared" si="11"/>
        <v>9.4003244444444434</v>
      </c>
      <c r="L70" s="22">
        <f>Test!B68</f>
        <v>16138.099200000001</v>
      </c>
      <c r="M70" s="23">
        <f>Test!C68</f>
        <v>34.043999999999997</v>
      </c>
      <c r="N70" s="23">
        <f>Test!D68</f>
        <v>37.304200000000002</v>
      </c>
      <c r="O70" s="23">
        <f>Test!E68</f>
        <v>37.290100000000002</v>
      </c>
      <c r="P70" s="23">
        <f>Test!F68</f>
        <v>35578.644999999997</v>
      </c>
      <c r="Q70" s="23">
        <f>Test!G68</f>
        <v>15.244</v>
      </c>
      <c r="R70" s="23">
        <f t="shared" si="12"/>
        <v>9.8829569444444427</v>
      </c>
      <c r="S70" s="17">
        <f t="shared" si="13"/>
        <v>1.0513421108869527</v>
      </c>
      <c r="T70" s="18">
        <f t="shared" si="14"/>
        <v>0.99562406113251911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47366.924800000001</v>
      </c>
      <c r="E71" s="13">
        <f>Reference!C69</f>
        <v>46.082299999999996</v>
      </c>
      <c r="F71" s="13">
        <f>Reference!D69</f>
        <v>48.1357</v>
      </c>
      <c r="G71" s="13">
        <f>Reference!E69</f>
        <v>48.439399999999999</v>
      </c>
      <c r="H71" s="13">
        <f>Reference!F69</f>
        <v>76399.804999999993</v>
      </c>
      <c r="I71" s="13">
        <f>Reference!G69</f>
        <v>12.919</v>
      </c>
      <c r="J71" s="14">
        <f>H71/3600</f>
        <v>21.222168055555553</v>
      </c>
      <c r="L71" s="12">
        <f>Test!B69</f>
        <v>35249.734400000001</v>
      </c>
      <c r="M71" s="13">
        <f>Test!C69</f>
        <v>49.1158</v>
      </c>
      <c r="N71" s="13">
        <f>Test!D69</f>
        <v>48.3613</v>
      </c>
      <c r="O71" s="13">
        <f>Test!E69</f>
        <v>48.314399999999999</v>
      </c>
      <c r="P71" s="13">
        <f>Test!F69</f>
        <v>66722.687999999995</v>
      </c>
      <c r="Q71" s="13">
        <f>Test!G69</f>
        <v>11.808999999999999</v>
      </c>
      <c r="R71" s="13">
        <f>P71/3600</f>
        <v>18.534079999999999</v>
      </c>
      <c r="S71" s="17">
        <f>P71/H71</f>
        <v>0.87333584162943867</v>
      </c>
      <c r="T71" s="18">
        <f>Q71/I71</f>
        <v>0.91408003715457842</v>
      </c>
      <c r="U71" s="91"/>
      <c r="V71" s="42">
        <f>bdrate($D71:$D74,E71:E74,$L71:$L74,M71:M74)</f>
        <v>-0.39084366072031307</v>
      </c>
      <c r="W71" s="42">
        <f>bdrate($D71:$D74,F71:F74,$L71:$L74,N71:N74)</f>
        <v>-0.23645412306396796</v>
      </c>
      <c r="X71" s="43">
        <f>bdrate($D71:$D74,G71:G74,$L71:$L74,O71:O74)</f>
        <v>-0.2243454574210092</v>
      </c>
      <c r="Y71" s="37">
        <f>bdrateOld($D71:$D74,E71:E74,$L71:$L74,M71:M74)</f>
        <v>-0.39118225408721541</v>
      </c>
      <c r="Z71" s="42">
        <f>bdrateOld($D71:$D74,F71:F74,$L71:$L74,N71:N74)</f>
        <v>-0.23697561222249375</v>
      </c>
      <c r="AA71" s="43">
        <f>bdrateOld($D71:$D74,G71:G74,$L71:$L74,O71:O74)</f>
        <v>-0.22476370711609828</v>
      </c>
    </row>
    <row r="72" spans="1:27" x14ac:dyDescent="0.2">
      <c r="A72" s="16"/>
      <c r="B72" s="85"/>
      <c r="C72" s="16">
        <v>32</v>
      </c>
      <c r="D72" s="17">
        <f>Reference!B70</f>
        <v>37748.371200000001</v>
      </c>
      <c r="E72" s="18">
        <f>Reference!C70</f>
        <v>42.383800000000001</v>
      </c>
      <c r="F72" s="18">
        <f>Reference!D70</f>
        <v>45.594200000000001</v>
      </c>
      <c r="G72" s="18">
        <f>Reference!E70</f>
        <v>45.777900000000002</v>
      </c>
      <c r="H72" s="18">
        <f>Reference!F70</f>
        <v>73185.733999999997</v>
      </c>
      <c r="I72" s="18">
        <f>Reference!G70</f>
        <v>12.301</v>
      </c>
      <c r="J72" s="19">
        <f t="shared" ref="J72:J74" si="15">H72/3600</f>
        <v>20.329370555555556</v>
      </c>
      <c r="L72" s="17">
        <f>Test!B70</f>
        <v>28505.990399999999</v>
      </c>
      <c r="M72" s="18">
        <f>Test!C70</f>
        <v>45.965800000000002</v>
      </c>
      <c r="N72" s="18">
        <f>Test!D70</f>
        <v>45.826999999999998</v>
      </c>
      <c r="O72" s="18">
        <f>Test!E70</f>
        <v>45.838200000000001</v>
      </c>
      <c r="P72" s="18">
        <f>Test!F70</f>
        <v>62666.644999999997</v>
      </c>
      <c r="Q72" s="18">
        <f>Test!G70</f>
        <v>11.595000000000001</v>
      </c>
      <c r="R72" s="18">
        <f t="shared" ref="R72:R74" si="16">P72/3600</f>
        <v>17.407401388888889</v>
      </c>
      <c r="S72" s="17">
        <f t="shared" ref="S72:S74" si="17">P72/H72</f>
        <v>0.85626858644336334</v>
      </c>
      <c r="T72" s="18">
        <f t="shared" ref="T72:T74" si="18">Q72/I72</f>
        <v>0.94260629217136827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27606.8416</v>
      </c>
      <c r="E73" s="18">
        <f>Reference!C71</f>
        <v>38.329300000000003</v>
      </c>
      <c r="F73" s="18">
        <f>Reference!D71</f>
        <v>43.506599999999999</v>
      </c>
      <c r="G73" s="18">
        <f>Reference!E71</f>
        <v>43.603499999999997</v>
      </c>
      <c r="H73" s="18">
        <f>Reference!F71</f>
        <v>67355.633000000002</v>
      </c>
      <c r="I73" s="18">
        <f>Reference!G71</f>
        <v>11.939</v>
      </c>
      <c r="J73" s="19">
        <f t="shared" si="15"/>
        <v>18.709898055555556</v>
      </c>
      <c r="L73" s="17">
        <f>Test!B71</f>
        <v>22265.446400000001</v>
      </c>
      <c r="M73" s="18">
        <f>Test!C71</f>
        <v>42.150199999999998</v>
      </c>
      <c r="N73" s="18">
        <f>Test!D71</f>
        <v>43.6843</v>
      </c>
      <c r="O73" s="18">
        <f>Test!E71</f>
        <v>43.732100000000003</v>
      </c>
      <c r="P73" s="18">
        <f>Test!F71</f>
        <v>56768.616999999998</v>
      </c>
      <c r="Q73" s="18">
        <f>Test!G71</f>
        <v>10.55</v>
      </c>
      <c r="R73" s="18">
        <f t="shared" si="16"/>
        <v>15.769060277777777</v>
      </c>
      <c r="S73" s="17">
        <f t="shared" si="17"/>
        <v>0.84281914476254716</v>
      </c>
      <c r="T73" s="18">
        <f t="shared" si="18"/>
        <v>0.88365859787251866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18890.438399999999</v>
      </c>
      <c r="E74" s="23">
        <f>Reference!C72</f>
        <v>33.3748</v>
      </c>
      <c r="F74" s="23">
        <f>Reference!D72</f>
        <v>41.497900000000001</v>
      </c>
      <c r="G74" s="23">
        <f>Reference!E72</f>
        <v>41.522799999999997</v>
      </c>
      <c r="H74" s="23">
        <f>Reference!F72</f>
        <v>60866.663999999997</v>
      </c>
      <c r="I74" s="23">
        <f>Reference!G72</f>
        <v>11.484999999999999</v>
      </c>
      <c r="J74" s="24">
        <f t="shared" si="15"/>
        <v>16.907406666666667</v>
      </c>
      <c r="L74" s="22">
        <f>Test!B72</f>
        <v>16391.846399999999</v>
      </c>
      <c r="M74" s="23">
        <f>Test!C72</f>
        <v>37.407899999999998</v>
      </c>
      <c r="N74" s="23">
        <f>Test!D72</f>
        <v>41.628399999999999</v>
      </c>
      <c r="O74" s="23">
        <f>Test!E72</f>
        <v>41.590800000000002</v>
      </c>
      <c r="P74" s="23">
        <f>Test!F72</f>
        <v>49769.707000000002</v>
      </c>
      <c r="Q74" s="23">
        <f>Test!G72</f>
        <v>11.199</v>
      </c>
      <c r="R74" s="23">
        <f t="shared" si="16"/>
        <v>13.824918611111112</v>
      </c>
      <c r="S74" s="22">
        <f t="shared" si="17"/>
        <v>0.81768415959185814</v>
      </c>
      <c r="T74" s="23">
        <f t="shared" si="18"/>
        <v>0.97509795385285158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30.937906992724443</v>
      </c>
      <c r="J75" s="15">
        <f>GEOMEAN(J3:J18)</f>
        <v>18.553405020304346</v>
      </c>
      <c r="Q75" s="15">
        <f>GEOMEAN(Q3:Q18)</f>
        <v>31.614614812708574</v>
      </c>
      <c r="R75" s="15">
        <f>GEOMEAN(R3:R18)</f>
        <v>21.335645005774026</v>
      </c>
      <c r="S75" s="15">
        <f>GEOMEAN(S3:S18)</f>
        <v>1.1499584568129069</v>
      </c>
      <c r="T75" s="15">
        <f>GEOMEAN(T3:T18)</f>
        <v>1.021873096332705</v>
      </c>
      <c r="V75" s="37">
        <f>AVERAGE(V3:V18)</f>
        <v>-4.4021834727999698E-3</v>
      </c>
      <c r="W75" s="42">
        <f t="shared" ref="W75:AA75" si="19">AVERAGE(W3:W18)</f>
        <v>-1.6210977656137354E-2</v>
      </c>
      <c r="X75" s="42">
        <f t="shared" si="19"/>
        <v>8.8451258539457567E-3</v>
      </c>
      <c r="Y75" s="37">
        <f>AVERAGE(Y3:Y18)</f>
        <v>-4.0927099447776449E-3</v>
      </c>
      <c r="Z75" s="42">
        <f t="shared" si="19"/>
        <v>-1.6617184454952111E-2</v>
      </c>
      <c r="AA75" s="43">
        <f t="shared" si="19"/>
        <v>8.6865460390981308E-3</v>
      </c>
    </row>
    <row r="76" spans="1:27" x14ac:dyDescent="0.2">
      <c r="B76" s="89" t="s">
        <v>47</v>
      </c>
      <c r="I76" s="15">
        <f>GEOMEAN(I19:I34)</f>
        <v>15.323783915726956</v>
      </c>
      <c r="J76" s="15">
        <f>GEOMEAN(J19:J34)</f>
        <v>10.493421748246062</v>
      </c>
      <c r="Q76" s="15">
        <f>GEOMEAN(Q19:Q34)</f>
        <v>15.697846704183524</v>
      </c>
      <c r="R76" s="15">
        <f>GEOMEAN(R19:R34)</f>
        <v>12.320690496246499</v>
      </c>
      <c r="S76" s="15">
        <f>GEOMEAN(S19:S34)</f>
        <v>1.1741346904603218</v>
      </c>
      <c r="T76" s="15">
        <f>GEOMEAN(T19:T34)</f>
        <v>1.0244106018796482</v>
      </c>
      <c r="V76" s="40">
        <f>AVERAGE(V19:V34)</f>
        <v>-4.8611946025187425E-3</v>
      </c>
      <c r="W76" s="44">
        <f t="shared" ref="W76:AA76" si="20">AVERAGE(W19:W34)</f>
        <v>-1.7808773986845328E-2</v>
      </c>
      <c r="X76" s="44">
        <f t="shared" si="20"/>
        <v>-3.959291902953882E-3</v>
      </c>
      <c r="Y76" s="40">
        <f t="shared" si="20"/>
        <v>-4.8741502701783179E-3</v>
      </c>
      <c r="Z76" s="44">
        <f t="shared" si="20"/>
        <v>-1.7765040572820495E-2</v>
      </c>
      <c r="AA76" s="45">
        <f t="shared" si="20"/>
        <v>-3.8050070556992499E-3</v>
      </c>
    </row>
    <row r="77" spans="1:27" x14ac:dyDescent="0.2">
      <c r="B77" s="89" t="s">
        <v>51</v>
      </c>
      <c r="I77" s="15">
        <f>GEOMEAN(I35:I50)</f>
        <v>7.2839713246563358</v>
      </c>
      <c r="J77" s="15">
        <f>GEOMEAN(J35:J50)</f>
        <v>4.989230481963312</v>
      </c>
      <c r="Q77" s="15">
        <f>GEOMEAN(Q35:Q50)</f>
        <v>7.4614885971060758</v>
      </c>
      <c r="R77" s="15">
        <f>GEOMEAN(R35:R50)</f>
        <v>5.8471452139781332</v>
      </c>
      <c r="S77" s="15">
        <f>GEOMEAN(S35:S50)</f>
        <v>1.1719533172733327</v>
      </c>
      <c r="T77" s="15">
        <f>GEOMEAN(T35:T50)</f>
        <v>1.0243709460866277</v>
      </c>
      <c r="V77" s="40">
        <f>AVERAGE(V35:V50)</f>
        <v>-5.3626694338518854E-3</v>
      </c>
      <c r="W77" s="44">
        <f t="shared" ref="W77:AA77" si="21">AVERAGE(W35:W50)</f>
        <v>-1.6929730147339866E-2</v>
      </c>
      <c r="X77" s="44">
        <f t="shared" si="21"/>
        <v>-7.7968386920262978E-3</v>
      </c>
      <c r="Y77" s="40">
        <f t="shared" si="21"/>
        <v>-5.3419351044226016E-3</v>
      </c>
      <c r="Z77" s="44">
        <f t="shared" si="21"/>
        <v>-1.7112609479035978E-2</v>
      </c>
      <c r="AA77" s="45">
        <f t="shared" si="21"/>
        <v>-7.6265816434008815E-3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>
        <f>GEOMEAN(I59:I74)</f>
        <v>13.225043572629493</v>
      </c>
      <c r="J79" s="15">
        <f>GEOMEAN(J59:J74)</f>
        <v>20.253697133292167</v>
      </c>
      <c r="Q79" s="15">
        <f>GEOMEAN(Q59:Q74)</f>
        <v>12.608439790489003</v>
      </c>
      <c r="R79" s="15">
        <f>GEOMEAN(R59:R74)</f>
        <v>19.692637321871278</v>
      </c>
      <c r="S79" s="15">
        <f t="shared" ref="S79:T79" si="23">GEOMEAN(S59:S74)</f>
        <v>0.97229840025115</v>
      </c>
      <c r="T79" s="15">
        <f t="shared" si="23"/>
        <v>0.95337604910303564</v>
      </c>
      <c r="V79" s="40">
        <f>AVERAGE(V59:V74)</f>
        <v>-0.24320809410994229</v>
      </c>
      <c r="W79" s="44">
        <f t="shared" ref="W79:AA79" si="24">AVERAGE(W59:W74)</f>
        <v>-0.16175342459148767</v>
      </c>
      <c r="X79" s="44">
        <f t="shared" si="24"/>
        <v>-0.14999844198676976</v>
      </c>
      <c r="Y79" s="40">
        <f t="shared" si="24"/>
        <v>-0.24313745530944053</v>
      </c>
      <c r="Z79" s="44">
        <f t="shared" si="24"/>
        <v>-0.16206907192357736</v>
      </c>
      <c r="AA79" s="45">
        <f t="shared" si="24"/>
        <v>-0.1502854582534372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15.11500837205716</v>
      </c>
      <c r="J80" s="54">
        <f xml:space="preserve"> GEOMEAN(J3:J50)</f>
        <v>9.9035623516828135</v>
      </c>
      <c r="K80" s="4"/>
      <c r="L80" s="4"/>
      <c r="M80" s="4"/>
      <c r="N80" s="4"/>
      <c r="O80" s="4"/>
      <c r="P80" s="4"/>
      <c r="Q80" s="54">
        <f xml:space="preserve"> GEOMEAN(Q3:Q50)</f>
        <v>15.470979810581785</v>
      </c>
      <c r="R80" s="54">
        <f xml:space="preserve"> GEOMEAN(R3:R50)</f>
        <v>11.540595914284232</v>
      </c>
      <c r="S80" s="54">
        <f xml:space="preserve"> GEOMEAN(S3:S50)</f>
        <v>1.1652974459562275</v>
      </c>
      <c r="T80" s="54">
        <f>GEOMEAN(T3:T50)</f>
        <v>1.0235508595008591</v>
      </c>
      <c r="U80" s="4"/>
      <c r="V80" s="41">
        <f>AVERAGE(V3:V50)</f>
        <v>-4.8753491697235323E-3</v>
      </c>
      <c r="W80" s="46">
        <f t="shared" ref="W80:AA80" si="25">AVERAGE(W3:W50)</f>
        <v>-1.6983160596774183E-2</v>
      </c>
      <c r="X80" s="47">
        <f t="shared" si="25"/>
        <v>-9.7033491367814106E-4</v>
      </c>
      <c r="Y80" s="46">
        <f t="shared" si="25"/>
        <v>-4.7695984397928548E-3</v>
      </c>
      <c r="Z80" s="46">
        <f t="shared" si="25"/>
        <v>-1.7164944835602863E-2</v>
      </c>
      <c r="AA80" s="47">
        <f t="shared" si="25"/>
        <v>-9.150142200006669E-4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83"/>
  <sheetViews>
    <sheetView topLeftCell="A7" zoomScale="70" zoomScaleNormal="70" workbookViewId="0">
      <selection activeCell="L35" sqref="L35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15090.312</v>
      </c>
      <c r="E3" s="13">
        <f>Reference!C73</f>
        <v>40.071300000000001</v>
      </c>
      <c r="F3" s="13">
        <f>Reference!D73</f>
        <v>48.887799999999999</v>
      </c>
      <c r="G3" s="13">
        <f>Reference!E73</f>
        <v>46.918199999999999</v>
      </c>
      <c r="H3" s="13">
        <f>Reference!F73</f>
        <v>404166.32900000003</v>
      </c>
      <c r="I3" s="13">
        <f>Reference!G73</f>
        <v>73.489000000000004</v>
      </c>
      <c r="J3" s="14">
        <f>H3/3600</f>
        <v>112.26842472222224</v>
      </c>
      <c r="L3" s="12">
        <f>Test!B73</f>
        <v>14891.128000000001</v>
      </c>
      <c r="M3" s="13">
        <f>Test!C73</f>
        <v>40.069800000000001</v>
      </c>
      <c r="N3" s="13">
        <f>Test!D73</f>
        <v>48.914499999999997</v>
      </c>
      <c r="O3" s="13">
        <f>Test!E73</f>
        <v>46.920699999999997</v>
      </c>
      <c r="P3" s="13">
        <f>Test!F73</f>
        <v>364441.11900000001</v>
      </c>
      <c r="Q3" s="13">
        <f>Test!G73</f>
        <v>73.379000000000005</v>
      </c>
      <c r="R3" s="14">
        <f>P3/3600</f>
        <v>101.23364416666666</v>
      </c>
      <c r="S3" s="12">
        <f>P3/H3</f>
        <v>0.90171073850142525</v>
      </c>
      <c r="T3" s="13">
        <f>Q3/I3</f>
        <v>0.99850317734626948</v>
      </c>
      <c r="U3" s="90"/>
      <c r="V3" s="37">
        <f>bdrate($D3:$D6,E3:E6,$L3:$L6,M3:M6)</f>
        <v>-7.1779513796644823E-3</v>
      </c>
      <c r="W3" s="42">
        <f>bdrate($D3:$D6,F3:F6,$L3:$L6,N3:N6)</f>
        <v>-2.7741005534372087E-2</v>
      </c>
      <c r="X3" s="43">
        <f>bdrate($D3:$D6,G3:G6,$L3:$L6,O3:O6)</f>
        <v>-8.3063759379506941E-3</v>
      </c>
      <c r="Y3" s="37">
        <f>bdrateOld($D3:$D6,E3:E6,$L3:$L6,M3:M6)</f>
        <v>-5.9370116027932518E-3</v>
      </c>
      <c r="Z3" s="42">
        <f>bdrateOld($D3:$D6,F3:F6,$L3:$L6,N3:N6)</f>
        <v>-2.697637921132312E-2</v>
      </c>
      <c r="AA3" s="43">
        <f>bdrateOld($D3:$D6,G3:G6,$L3:$L6,O3:O6)</f>
        <v>-8.264332178261502E-3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6985.2839999999997</v>
      </c>
      <c r="E4" s="18">
        <f>Reference!C74</f>
        <v>39.561</v>
      </c>
      <c r="F4" s="18">
        <f>Reference!D74</f>
        <v>48.262099999999997</v>
      </c>
      <c r="G4" s="18">
        <f>Reference!E74</f>
        <v>46.023600000000002</v>
      </c>
      <c r="H4" s="18">
        <f>Reference!F74</f>
        <v>240561.454</v>
      </c>
      <c r="I4" s="18">
        <f>Reference!G74</f>
        <v>66.506</v>
      </c>
      <c r="J4" s="19">
        <f t="shared" ref="J4:J14" si="0">H4/3600</f>
        <v>66.822626111111106</v>
      </c>
      <c r="L4" s="17">
        <f>Test!B74</f>
        <v>6935.82</v>
      </c>
      <c r="M4" s="18">
        <f>Test!C74</f>
        <v>39.563600000000001</v>
      </c>
      <c r="N4" s="18">
        <f>Test!D74</f>
        <v>48.291400000000003</v>
      </c>
      <c r="O4" s="18">
        <f>Test!E74</f>
        <v>46.028500000000001</v>
      </c>
      <c r="P4" s="18">
        <f>Test!F74</f>
        <v>196584.50599999999</v>
      </c>
      <c r="Q4" s="18">
        <f>Test!G74</f>
        <v>66.831000000000003</v>
      </c>
      <c r="R4" s="19">
        <f t="shared" ref="R4:R14" si="1">P4/3600</f>
        <v>54.606807222222223</v>
      </c>
      <c r="S4" s="17">
        <f t="shared" ref="S4:T46" si="2">P4/H4</f>
        <v>0.8171903799683552</v>
      </c>
      <c r="T4" s="18">
        <f t="shared" si="2"/>
        <v>1.0048867771328902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3775.884</v>
      </c>
      <c r="E5" s="18">
        <f>Reference!C75</f>
        <v>38.687199999999997</v>
      </c>
      <c r="F5" s="18">
        <f>Reference!D75</f>
        <v>47.211300000000001</v>
      </c>
      <c r="G5" s="18">
        <f>Reference!E75</f>
        <v>44.685099999999998</v>
      </c>
      <c r="H5" s="18">
        <f>Reference!F75</f>
        <v>139689.81</v>
      </c>
      <c r="I5" s="18">
        <f>Reference!G75</f>
        <v>60.390999999999998</v>
      </c>
      <c r="J5" s="19">
        <f t="shared" si="0"/>
        <v>38.802725000000002</v>
      </c>
      <c r="L5" s="17">
        <f>Test!B75</f>
        <v>3756.096</v>
      </c>
      <c r="M5" s="18">
        <f>Test!C75</f>
        <v>38.690600000000003</v>
      </c>
      <c r="N5" s="18">
        <f>Test!D75</f>
        <v>47.250799999999998</v>
      </c>
      <c r="O5" s="18">
        <f>Test!E75</f>
        <v>44.688899999999997</v>
      </c>
      <c r="P5" s="18">
        <f>Test!F75</f>
        <v>99702.510999999999</v>
      </c>
      <c r="Q5" s="18">
        <f>Test!G75</f>
        <v>60.73</v>
      </c>
      <c r="R5" s="19">
        <f t="shared" si="1"/>
        <v>27.695141944444444</v>
      </c>
      <c r="S5" s="17">
        <f t="shared" si="2"/>
        <v>0.71374219064368405</v>
      </c>
      <c r="T5" s="18">
        <f t="shared" si="2"/>
        <v>1.0056134192180954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1996.732</v>
      </c>
      <c r="E6" s="23">
        <f>Reference!C76</f>
        <v>37.152900000000002</v>
      </c>
      <c r="F6" s="23">
        <f>Reference!D76</f>
        <v>45.944699999999997</v>
      </c>
      <c r="G6" s="23">
        <f>Reference!E76</f>
        <v>43.008600000000001</v>
      </c>
      <c r="H6" s="23">
        <f>Reference!F76</f>
        <v>80540.145000000004</v>
      </c>
      <c r="I6" s="23">
        <f>Reference!G76</f>
        <v>55.924999999999997</v>
      </c>
      <c r="J6" s="24">
        <f t="shared" si="0"/>
        <v>22.372262500000001</v>
      </c>
      <c r="L6" s="22">
        <f>Test!B76</f>
        <v>1985.8119999999999</v>
      </c>
      <c r="M6" s="23">
        <f>Test!C76</f>
        <v>37.146999999999998</v>
      </c>
      <c r="N6" s="23">
        <f>Test!D76</f>
        <v>45.9664</v>
      </c>
      <c r="O6" s="23">
        <f>Test!E76</f>
        <v>43.009500000000003</v>
      </c>
      <c r="P6" s="23">
        <f>Test!F76</f>
        <v>50173.38</v>
      </c>
      <c r="Q6" s="23">
        <f>Test!G76</f>
        <v>55.350999999999999</v>
      </c>
      <c r="R6" s="24">
        <f t="shared" si="1"/>
        <v>13.937049999999999</v>
      </c>
      <c r="S6" s="17">
        <f t="shared" si="2"/>
        <v>0.62296113323361901</v>
      </c>
      <c r="T6" s="18">
        <f t="shared" si="2"/>
        <v>0.98973625391148867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78880.347999999998</v>
      </c>
      <c r="E7" s="13">
        <f>Reference!C77</f>
        <v>41.558100000000003</v>
      </c>
      <c r="F7" s="13">
        <f>Reference!D77</f>
        <v>36.293500000000002</v>
      </c>
      <c r="G7" s="13">
        <f>Reference!E77</f>
        <v>37.382300000000001</v>
      </c>
      <c r="H7" s="13">
        <f>Reference!F77</f>
        <v>695594.005</v>
      </c>
      <c r="I7" s="13">
        <f>Reference!G77</f>
        <v>81.557000000000002</v>
      </c>
      <c r="J7" s="14">
        <f t="shared" si="0"/>
        <v>193.22055694444444</v>
      </c>
      <c r="L7" s="12">
        <f>Test!B77</f>
        <v>78314.788</v>
      </c>
      <c r="M7" s="13">
        <f>Test!C77</f>
        <v>41.558999999999997</v>
      </c>
      <c r="N7" s="13">
        <f>Test!D77</f>
        <v>36.299599999999998</v>
      </c>
      <c r="O7" s="13">
        <f>Test!E77</f>
        <v>37.386800000000001</v>
      </c>
      <c r="P7" s="13">
        <f>Test!F77</f>
        <v>703369.73</v>
      </c>
      <c r="Q7" s="13">
        <f>Test!G77</f>
        <v>82.569000000000003</v>
      </c>
      <c r="R7" s="14">
        <f t="shared" si="1"/>
        <v>195.38048055555555</v>
      </c>
      <c r="S7" s="17">
        <f t="shared" si="2"/>
        <v>1.0111785394125126</v>
      </c>
      <c r="T7" s="18">
        <f t="shared" si="2"/>
        <v>1.0124084995769829</v>
      </c>
      <c r="U7" s="91"/>
      <c r="V7" s="37">
        <f>bdrate($D7:$D10,E7:E10,$L7:$L10,M7:M10)</f>
        <v>-9.4352009898778233E-3</v>
      </c>
      <c r="W7" s="42">
        <f>bdrate($D7:$D10,F7:F10,$L7:$L10,N7:N10)</f>
        <v>-1.3421595905755423E-2</v>
      </c>
      <c r="X7" s="42">
        <f>bdrate($D7:$D10,G7:G10,$L7:$L10,O7:O10)</f>
        <v>-1.4404862288520892E-2</v>
      </c>
      <c r="Y7" s="40">
        <f>bdrateOld($D7:$D10,E7:E10,$L7:$L10,M7:M10)</f>
        <v>-9.4582194284787979E-3</v>
      </c>
      <c r="Z7" s="44">
        <f>bdrateOld($D7:$D10,F7:F10,$L7:$L10,N7:N10)</f>
        <v>-1.3374433355504811E-2</v>
      </c>
      <c r="AA7" s="45">
        <f>bdrateOld($D7:$D10,G7:G10,$L7:$L10,O7:O10)</f>
        <v>-1.4530812298070073E-2</v>
      </c>
    </row>
    <row r="8" spans="1:27" x14ac:dyDescent="0.2">
      <c r="A8" s="16"/>
      <c r="B8" s="85"/>
      <c r="C8" s="16">
        <v>48</v>
      </c>
      <c r="D8" s="17">
        <f>Reference!B78</f>
        <v>40887.987999999998</v>
      </c>
      <c r="E8" s="18">
        <f>Reference!C78</f>
        <v>38.9499</v>
      </c>
      <c r="F8" s="18">
        <f>Reference!D78</f>
        <v>34.3215</v>
      </c>
      <c r="G8" s="18">
        <f>Reference!E78</f>
        <v>35.638599999999997</v>
      </c>
      <c r="H8" s="18">
        <f>Reference!F78</f>
        <v>472244.26699999999</v>
      </c>
      <c r="I8" s="18">
        <f>Reference!G78</f>
        <v>70.879000000000005</v>
      </c>
      <c r="J8" s="19">
        <f t="shared" si="0"/>
        <v>131.17896305555556</v>
      </c>
      <c r="L8" s="17">
        <f>Test!B78</f>
        <v>40567.843999999997</v>
      </c>
      <c r="M8" s="18">
        <f>Test!C78</f>
        <v>38.953299999999999</v>
      </c>
      <c r="N8" s="18">
        <f>Test!D78</f>
        <v>34.334600000000002</v>
      </c>
      <c r="O8" s="18">
        <f>Test!E78</f>
        <v>35.653799999999997</v>
      </c>
      <c r="P8" s="18">
        <f>Test!F78</f>
        <v>454657.359</v>
      </c>
      <c r="Q8" s="18">
        <f>Test!G78</f>
        <v>71.578000000000003</v>
      </c>
      <c r="R8" s="19">
        <f t="shared" si="1"/>
        <v>126.29371083333334</v>
      </c>
      <c r="S8" s="17">
        <f t="shared" si="2"/>
        <v>0.96275887452965103</v>
      </c>
      <c r="T8" s="18">
        <f t="shared" si="2"/>
        <v>1.0098618772838217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19238.28</v>
      </c>
      <c r="E9" s="18">
        <f>Reference!C79</f>
        <v>36.034799999999997</v>
      </c>
      <c r="F9" s="18">
        <f>Reference!D79</f>
        <v>32.5715</v>
      </c>
      <c r="G9" s="18">
        <f>Reference!E79</f>
        <v>34.089500000000001</v>
      </c>
      <c r="H9" s="18">
        <f>Reference!F79</f>
        <v>302974.09899999999</v>
      </c>
      <c r="I9" s="18">
        <f>Reference!G79</f>
        <v>63.805999999999997</v>
      </c>
      <c r="J9" s="19">
        <f t="shared" si="0"/>
        <v>84.159471944444448</v>
      </c>
      <c r="L9" s="17">
        <f>Test!B79</f>
        <v>19107.707999999999</v>
      </c>
      <c r="M9" s="18">
        <f>Test!C79</f>
        <v>36.0486</v>
      </c>
      <c r="N9" s="18">
        <f>Test!D79</f>
        <v>32.5901</v>
      </c>
      <c r="O9" s="18">
        <f>Test!E79</f>
        <v>34.103000000000002</v>
      </c>
      <c r="P9" s="18">
        <f>Test!F79</f>
        <v>273768.25300000003</v>
      </c>
      <c r="Q9" s="18">
        <f>Test!G79</f>
        <v>64.150999999999996</v>
      </c>
      <c r="R9" s="19">
        <f t="shared" si="1"/>
        <v>76.046736944444447</v>
      </c>
      <c r="S9" s="17">
        <f t="shared" si="2"/>
        <v>0.90360282909860234</v>
      </c>
      <c r="T9" s="18">
        <f t="shared" si="2"/>
        <v>1.005407015014262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7878.3559999999998</v>
      </c>
      <c r="E10" s="23">
        <f>Reference!C80</f>
        <v>32.9529</v>
      </c>
      <c r="F10" s="23">
        <f>Reference!D80</f>
        <v>30.959399999999999</v>
      </c>
      <c r="G10" s="23">
        <f>Reference!E80</f>
        <v>32.685099999999998</v>
      </c>
      <c r="H10" s="23">
        <f>Reference!F80</f>
        <v>180382.29500000001</v>
      </c>
      <c r="I10" s="23">
        <f>Reference!G80</f>
        <v>58.466999999999999</v>
      </c>
      <c r="J10" s="24">
        <f t="shared" si="0"/>
        <v>50.106193055555558</v>
      </c>
      <c r="L10" s="22">
        <f>Test!B80</f>
        <v>7850.9080000000004</v>
      </c>
      <c r="M10" s="23">
        <f>Test!C80</f>
        <v>32.9739</v>
      </c>
      <c r="N10" s="23">
        <f>Test!D80</f>
        <v>30.976800000000001</v>
      </c>
      <c r="O10" s="23">
        <f>Test!E80</f>
        <v>32.712400000000002</v>
      </c>
      <c r="P10" s="23">
        <f>Test!F80</f>
        <v>151714.10200000001</v>
      </c>
      <c r="Q10" s="23">
        <f>Test!G80</f>
        <v>59.182000000000002</v>
      </c>
      <c r="R10" s="24">
        <f t="shared" si="1"/>
        <v>42.142806111111113</v>
      </c>
      <c r="S10" s="17">
        <f t="shared" si="2"/>
        <v>0.84106980676789811</v>
      </c>
      <c r="T10" s="18">
        <f t="shared" si="2"/>
        <v>1.0122291207005663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39482.508000000002</v>
      </c>
      <c r="E11" s="13">
        <f>Reference!C81</f>
        <v>38.2943</v>
      </c>
      <c r="F11" s="13">
        <f>Reference!D81</f>
        <v>40.311399999999999</v>
      </c>
      <c r="G11" s="13">
        <f>Reference!E81</f>
        <v>41.366599999999998</v>
      </c>
      <c r="H11" s="13">
        <f>Reference!F81</f>
        <v>410712.13500000001</v>
      </c>
      <c r="I11" s="13">
        <f>Reference!G81</f>
        <v>44.301000000000002</v>
      </c>
      <c r="J11" s="14">
        <f t="shared" si="0"/>
        <v>114.08670416666666</v>
      </c>
      <c r="L11" s="12">
        <f>Test!B81</f>
        <v>39344.296000000002</v>
      </c>
      <c r="M11" s="13">
        <f>Test!C81</f>
        <v>38.297800000000002</v>
      </c>
      <c r="N11" s="13">
        <f>Test!D81</f>
        <v>40.323700000000002</v>
      </c>
      <c r="O11" s="13">
        <f>Test!E81</f>
        <v>41.319000000000003</v>
      </c>
      <c r="P11" s="13">
        <f>Test!F81</f>
        <v>413455.08199999999</v>
      </c>
      <c r="Q11" s="13">
        <f>Test!G81</f>
        <v>45.811</v>
      </c>
      <c r="R11" s="14">
        <f t="shared" si="1"/>
        <v>114.84863388888888</v>
      </c>
      <c r="S11" s="17">
        <f t="shared" si="2"/>
        <v>1.0066785146243609</v>
      </c>
      <c r="T11" s="18">
        <f t="shared" si="2"/>
        <v>1.0340850093677343</v>
      </c>
      <c r="U11" s="91"/>
      <c r="V11" s="37">
        <f>bdrate($D11:$D14,E11:E14,$L11:$L14,M11:M14)</f>
        <v>-7.3831595335120959E-3</v>
      </c>
      <c r="W11" s="42">
        <f>bdrate($D11:$D14,F11:F14,$L11:$L14,N11:N14)</f>
        <v>-1.0063564081814746E-2</v>
      </c>
      <c r="X11" s="42">
        <f>bdrate($D11:$D14,G11:G14,$L11:$L14,O11:O14)</f>
        <v>-3.8884316496781146E-3</v>
      </c>
      <c r="Y11" s="40">
        <f>bdrateOld($D11:$D14,E11:E14,$L11:$L14,M11:M14)</f>
        <v>-7.4198855094841365E-3</v>
      </c>
      <c r="Z11" s="44">
        <f>bdrateOld($D11:$D14,F11:F14,$L11:$L14,N11:N14)</f>
        <v>-9.9432470422695651E-3</v>
      </c>
      <c r="AA11" s="45">
        <f>bdrateOld($D11:$D14,G11:G14,$L11:$L14,O11:O14)</f>
        <v>-3.8576635272301596E-3</v>
      </c>
    </row>
    <row r="12" spans="1:27" x14ac:dyDescent="0.2">
      <c r="A12" s="34"/>
      <c r="B12" s="83"/>
      <c r="C12" s="16">
        <v>48</v>
      </c>
      <c r="D12" s="17">
        <f>Reference!B82</f>
        <v>19140.248</v>
      </c>
      <c r="E12" s="18">
        <f>Reference!C82</f>
        <v>37.161900000000003</v>
      </c>
      <c r="F12" s="18">
        <f>Reference!D82</f>
        <v>37.789299999999997</v>
      </c>
      <c r="G12" s="18">
        <f>Reference!E82</f>
        <v>40.0062</v>
      </c>
      <c r="H12" s="18">
        <f>Reference!F82</f>
        <v>247182.95300000001</v>
      </c>
      <c r="I12" s="18">
        <f>Reference!G82</f>
        <v>37.429000000000002</v>
      </c>
      <c r="J12" s="19">
        <f t="shared" si="0"/>
        <v>68.661931388888888</v>
      </c>
      <c r="L12" s="17">
        <f>Test!B82</f>
        <v>19082.804</v>
      </c>
      <c r="M12" s="18">
        <f>Test!C82</f>
        <v>37.168199999999999</v>
      </c>
      <c r="N12" s="18">
        <f>Test!D82</f>
        <v>37.806600000000003</v>
      </c>
      <c r="O12" s="18">
        <f>Test!E82</f>
        <v>39.996299999999998</v>
      </c>
      <c r="P12" s="18">
        <f>Test!F82</f>
        <v>234474.01300000001</v>
      </c>
      <c r="Q12" s="18">
        <f>Test!G82</f>
        <v>38.927</v>
      </c>
      <c r="R12" s="19">
        <f t="shared" si="1"/>
        <v>65.131670277777786</v>
      </c>
      <c r="S12" s="17">
        <f t="shared" si="2"/>
        <v>0.94858488481606573</v>
      </c>
      <c r="T12" s="18">
        <f t="shared" si="2"/>
        <v>1.0400224424911164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9461.1880000000001</v>
      </c>
      <c r="E13" s="18">
        <f>Reference!C83</f>
        <v>35.768000000000001</v>
      </c>
      <c r="F13" s="18">
        <f>Reference!D83</f>
        <v>35.586199999999998</v>
      </c>
      <c r="G13" s="18">
        <f>Reference!E83</f>
        <v>38.644799999999996</v>
      </c>
      <c r="H13" s="18">
        <f>Reference!F83</f>
        <v>155922.67300000001</v>
      </c>
      <c r="I13" s="18">
        <f>Reference!G83</f>
        <v>32.482999999999997</v>
      </c>
      <c r="J13" s="19">
        <f t="shared" si="0"/>
        <v>43.311853611111111</v>
      </c>
      <c r="L13" s="17">
        <f>Test!B83</f>
        <v>9417.2119999999995</v>
      </c>
      <c r="M13" s="18">
        <f>Test!C83</f>
        <v>35.775300000000001</v>
      </c>
      <c r="N13" s="18">
        <f>Test!D83</f>
        <v>35.6111</v>
      </c>
      <c r="O13" s="18">
        <f>Test!E83</f>
        <v>38.657299999999999</v>
      </c>
      <c r="P13" s="18">
        <f>Test!F83</f>
        <v>138019.04300000001</v>
      </c>
      <c r="Q13" s="18">
        <f>Test!G83</f>
        <v>34.198999999999998</v>
      </c>
      <c r="R13" s="19">
        <f t="shared" si="1"/>
        <v>38.338623055555558</v>
      </c>
      <c r="S13" s="17">
        <f t="shared" si="2"/>
        <v>0.885176224499435</v>
      </c>
      <c r="T13" s="18">
        <f t="shared" si="2"/>
        <v>1.0528276329156789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4788.9840000000004</v>
      </c>
      <c r="E14" s="23">
        <f>Reference!C84</f>
        <v>33.9161</v>
      </c>
      <c r="F14" s="23">
        <f>Reference!D84</f>
        <v>33.714100000000002</v>
      </c>
      <c r="G14" s="23">
        <f>Reference!E84</f>
        <v>37.153199999999998</v>
      </c>
      <c r="H14" s="23">
        <f>Reference!F84</f>
        <v>96044.536999999997</v>
      </c>
      <c r="I14" s="23">
        <f>Reference!G84</f>
        <v>26.741</v>
      </c>
      <c r="J14" s="24">
        <f t="shared" si="0"/>
        <v>26.679038055555555</v>
      </c>
      <c r="L14" s="22">
        <f>Test!B84</f>
        <v>4769.5159999999996</v>
      </c>
      <c r="M14" s="23">
        <f>Test!C84</f>
        <v>33.930199999999999</v>
      </c>
      <c r="N14" s="23">
        <f>Test!D84</f>
        <v>33.7361</v>
      </c>
      <c r="O14" s="23">
        <f>Test!E84</f>
        <v>37.198700000000002</v>
      </c>
      <c r="P14" s="23">
        <f>Test!F84</f>
        <v>79547.781000000003</v>
      </c>
      <c r="Q14" s="23">
        <f>Test!G84</f>
        <v>29.664999999999999</v>
      </c>
      <c r="R14" s="24">
        <f t="shared" si="1"/>
        <v>22.096605833333335</v>
      </c>
      <c r="S14" s="17">
        <f t="shared" si="2"/>
        <v>0.82823847648929794</v>
      </c>
      <c r="T14" s="18">
        <f t="shared" si="2"/>
        <v>1.1093452002542912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25984.256000000001</v>
      </c>
      <c r="E15" s="13">
        <f>Reference!C85</f>
        <v>37.6006</v>
      </c>
      <c r="F15" s="13">
        <f>Reference!D85</f>
        <v>45.102800000000002</v>
      </c>
      <c r="G15" s="13">
        <f>Reference!E85</f>
        <v>42.770699999999998</v>
      </c>
      <c r="H15" s="13">
        <f>Reference!F85</f>
        <v>549592.52500000002</v>
      </c>
      <c r="I15" s="13">
        <f>Reference!G85</f>
        <v>76.456000000000003</v>
      </c>
      <c r="J15" s="14">
        <f>H15/3600</f>
        <v>152.66459027777779</v>
      </c>
      <c r="L15" s="12">
        <f>Test!B85</f>
        <v>25723.46</v>
      </c>
      <c r="M15" s="13">
        <f>Test!C85</f>
        <v>37.6023</v>
      </c>
      <c r="N15" s="13">
        <f>Test!D85</f>
        <v>45.135100000000001</v>
      </c>
      <c r="O15" s="13">
        <f>Test!E85</f>
        <v>42.770200000000003</v>
      </c>
      <c r="P15" s="13">
        <f>Test!F85</f>
        <v>550020.56000000006</v>
      </c>
      <c r="Q15" s="13">
        <f>Test!G85</f>
        <v>75.625</v>
      </c>
      <c r="R15" s="14">
        <f>P15/3600</f>
        <v>152.78348888888891</v>
      </c>
      <c r="S15" s="17">
        <f>P15/H15</f>
        <v>1.0007788224557821</v>
      </c>
      <c r="T15" s="18">
        <f>Q15/I15</f>
        <v>0.98913100345296634</v>
      </c>
      <c r="U15" s="91"/>
      <c r="V15" s="37">
        <f>bdrate($D15:$D18,E15:E18,$L15:$L18,M15:M18)</f>
        <v>-1.0737535431975198E-2</v>
      </c>
      <c r="W15" s="42">
        <f>bdrate($D15:$D18,F15:F18,$L15:$L18,N15:N18)</f>
        <v>-4.6398408623703924E-2</v>
      </c>
      <c r="X15" s="43">
        <f>bdrate($D15:$D18,G15:G18,$L15:$L18,O15:O18)</f>
        <v>1.844804644018927E-3</v>
      </c>
      <c r="Y15" s="37">
        <f>bdrateOld($D15:$D18,E15:E18,$L15:$L18,M15:M18)</f>
        <v>-1.0223429196257516E-2</v>
      </c>
      <c r="Z15" s="42">
        <f>bdrateOld($D15:$D18,F15:F18,$L15:$L18,N15:N18)</f>
        <v>-4.4707420833751454E-2</v>
      </c>
      <c r="AA15" s="43">
        <f>bdrateOld($D15:$D18,G15:G18,$L15:$L18,O15:O18)</f>
        <v>1.1742688374387633E-3</v>
      </c>
    </row>
    <row r="16" spans="1:27" x14ac:dyDescent="0.2">
      <c r="A16" s="16"/>
      <c r="B16" s="85"/>
      <c r="C16" s="16">
        <v>48</v>
      </c>
      <c r="D16" s="17">
        <f>Reference!B86</f>
        <v>9383.616</v>
      </c>
      <c r="E16" s="18">
        <f>Reference!C86</f>
        <v>37.027900000000002</v>
      </c>
      <c r="F16" s="18">
        <f>Reference!D86</f>
        <v>44.474800000000002</v>
      </c>
      <c r="G16" s="18">
        <f>Reference!E86</f>
        <v>42.097000000000001</v>
      </c>
      <c r="H16" s="18">
        <f>Reference!F86</f>
        <v>299829.36099999998</v>
      </c>
      <c r="I16" s="18">
        <f>Reference!G86</f>
        <v>63.67</v>
      </c>
      <c r="J16" s="19">
        <f t="shared" ref="J16:J26" si="3">H16/3600</f>
        <v>83.285933611111105</v>
      </c>
      <c r="L16" s="17">
        <f>Test!B86</f>
        <v>9308.5519999999997</v>
      </c>
      <c r="M16" s="18">
        <f>Test!C86</f>
        <v>37.032400000000003</v>
      </c>
      <c r="N16" s="18">
        <f>Test!D86</f>
        <v>44.515999999999998</v>
      </c>
      <c r="O16" s="18">
        <f>Test!E86</f>
        <v>42.084099999999999</v>
      </c>
      <c r="P16" s="18">
        <f>Test!F86</f>
        <v>273823.20299999998</v>
      </c>
      <c r="Q16" s="18">
        <f>Test!G86</f>
        <v>64.105999999999995</v>
      </c>
      <c r="R16" s="19">
        <f t="shared" ref="R16:R26" si="4">P16/3600</f>
        <v>76.062000833333329</v>
      </c>
      <c r="S16" s="17">
        <f t="shared" ref="S16:S26" si="5">P16/H16</f>
        <v>0.91326347121821738</v>
      </c>
      <c r="T16" s="18">
        <f t="shared" ref="T16:T26" si="6">Q16/I16</f>
        <v>1.0068478090152346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4610.4639999999999</v>
      </c>
      <c r="E17" s="18">
        <f>Reference!C87</f>
        <v>36.154000000000003</v>
      </c>
      <c r="F17" s="18">
        <f>Reference!D87</f>
        <v>43.526499999999999</v>
      </c>
      <c r="G17" s="18">
        <f>Reference!E87</f>
        <v>41.1021</v>
      </c>
      <c r="H17" s="18">
        <f>Reference!F87</f>
        <v>170351.201</v>
      </c>
      <c r="I17" s="18">
        <f>Reference!G87</f>
        <v>52.639000000000003</v>
      </c>
      <c r="J17" s="19">
        <f t="shared" si="3"/>
        <v>47.319778055555552</v>
      </c>
      <c r="L17" s="17">
        <f>Test!B87</f>
        <v>4592.1440000000002</v>
      </c>
      <c r="M17" s="18">
        <f>Test!C87</f>
        <v>36.162999999999997</v>
      </c>
      <c r="N17" s="18">
        <f>Test!D87</f>
        <v>43.590499999999999</v>
      </c>
      <c r="O17" s="18">
        <f>Test!E87</f>
        <v>41.0931</v>
      </c>
      <c r="P17" s="18">
        <f>Test!F87</f>
        <v>137148.49</v>
      </c>
      <c r="Q17" s="18">
        <f>Test!G87</f>
        <v>53.356000000000002</v>
      </c>
      <c r="R17" s="19">
        <f t="shared" si="4"/>
        <v>38.096802777777775</v>
      </c>
      <c r="S17" s="17">
        <f t="shared" si="5"/>
        <v>0.80509259221483265</v>
      </c>
      <c r="T17" s="18">
        <f t="shared" si="6"/>
        <v>1.0136210794278007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2238.3359999999998</v>
      </c>
      <c r="E18" s="23">
        <f>Reference!C88</f>
        <v>34.665700000000001</v>
      </c>
      <c r="F18" s="23">
        <f>Reference!D88</f>
        <v>42.2271</v>
      </c>
      <c r="G18" s="23">
        <f>Reference!E88</f>
        <v>39.838500000000003</v>
      </c>
      <c r="H18" s="23">
        <f>Reference!F88</f>
        <v>92702.775999999998</v>
      </c>
      <c r="I18" s="23">
        <f>Reference!G88</f>
        <v>44.463999999999999</v>
      </c>
      <c r="J18" s="24">
        <f t="shared" si="3"/>
        <v>25.75077111111111</v>
      </c>
      <c r="L18" s="22">
        <f>Test!B88</f>
        <v>2227.0039999999999</v>
      </c>
      <c r="M18" s="23">
        <f>Test!C88</f>
        <v>34.677500000000002</v>
      </c>
      <c r="N18" s="23">
        <f>Test!D88</f>
        <v>42.279200000000003</v>
      </c>
      <c r="O18" s="23">
        <f>Test!E88</f>
        <v>39.825499999999998</v>
      </c>
      <c r="P18" s="23">
        <f>Test!F88</f>
        <v>67004.778999999995</v>
      </c>
      <c r="Q18" s="23">
        <f>Test!G88</f>
        <v>44.286999999999999</v>
      </c>
      <c r="R18" s="24">
        <f t="shared" si="4"/>
        <v>18.612438611111109</v>
      </c>
      <c r="S18" s="17">
        <f t="shared" si="5"/>
        <v>0.72279150518642499</v>
      </c>
      <c r="T18" s="18">
        <f t="shared" si="6"/>
        <v>0.99601925152932713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10209.892</v>
      </c>
      <c r="E19" s="13">
        <f>Reference!C89</f>
        <v>37.9636</v>
      </c>
      <c r="F19" s="13">
        <f>Reference!D89</f>
        <v>39.725700000000003</v>
      </c>
      <c r="G19" s="13">
        <f>Reference!E89</f>
        <v>43.103000000000002</v>
      </c>
      <c r="H19" s="13">
        <f>Reference!F89</f>
        <v>126542.952</v>
      </c>
      <c r="I19" s="13">
        <f>Reference!G89</f>
        <v>15.59</v>
      </c>
      <c r="J19" s="14">
        <f t="shared" si="3"/>
        <v>35.150820000000003</v>
      </c>
      <c r="L19" s="12">
        <f>Test!B89</f>
        <v>10121.992</v>
      </c>
      <c r="M19" s="13">
        <f>Test!C89</f>
        <v>37.966999999999999</v>
      </c>
      <c r="N19" s="13">
        <f>Test!D89</f>
        <v>39.735999999999997</v>
      </c>
      <c r="O19" s="13">
        <f>Test!E89</f>
        <v>43.0854</v>
      </c>
      <c r="P19" s="13">
        <f>Test!F89</f>
        <v>129622.243</v>
      </c>
      <c r="Q19" s="13">
        <f>Test!G89</f>
        <v>16.073</v>
      </c>
      <c r="R19" s="14">
        <f t="shared" si="4"/>
        <v>36.00617861111111</v>
      </c>
      <c r="S19" s="12">
        <f t="shared" si="5"/>
        <v>1.024333958954901</v>
      </c>
      <c r="T19" s="13">
        <f t="shared" si="6"/>
        <v>1.0309813983322642</v>
      </c>
      <c r="U19" s="90"/>
      <c r="V19" s="37">
        <f>bdrate($D19:$D22,E19:E22,$L19:$L22,M19:M22)</f>
        <v>-1.1405913504720089E-2</v>
      </c>
      <c r="W19" s="42">
        <f>bdrate($D19:$D22,F19:F22,$L19:$L22,N19:N22)</f>
        <v>-2.8571826780989129E-2</v>
      </c>
      <c r="X19" s="42">
        <f>bdrate($D19:$D22,G19:G22,$L19:$L22,O19:O22)</f>
        <v>-7.4413587889400334E-3</v>
      </c>
      <c r="Y19" s="40">
        <f>bdrateOld($D19:$D22,E19:E22,$L19:$L22,M19:M22)</f>
        <v>-1.119618317274973E-2</v>
      </c>
      <c r="Z19" s="44">
        <f>bdrateOld($D19:$D22,F19:F22,$L19:$L22,N19:N22)</f>
        <v>-2.7854864693535819E-2</v>
      </c>
      <c r="AA19" s="45">
        <f>bdrateOld($D19:$D22,G19:G22,$L19:$L22,O19:O22)</f>
        <v>-6.7293040120522951E-3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4807.3680000000004</v>
      </c>
      <c r="E20" s="18">
        <f>Reference!C90</f>
        <v>36.8581</v>
      </c>
      <c r="F20" s="18">
        <f>Reference!D90</f>
        <v>39.166400000000003</v>
      </c>
      <c r="G20" s="18">
        <f>Reference!E90</f>
        <v>41.971699999999998</v>
      </c>
      <c r="H20" s="18">
        <f>Reference!F90</f>
        <v>75770.73</v>
      </c>
      <c r="I20" s="18">
        <f>Reference!G90</f>
        <v>12.603999999999999</v>
      </c>
      <c r="J20" s="19">
        <f t="shared" si="3"/>
        <v>21.047425</v>
      </c>
      <c r="L20" s="17">
        <f>Test!B90</f>
        <v>4756.3879999999999</v>
      </c>
      <c r="M20" s="18">
        <f>Test!C90</f>
        <v>36.863300000000002</v>
      </c>
      <c r="N20" s="18">
        <f>Test!D90</f>
        <v>39.1873</v>
      </c>
      <c r="O20" s="18">
        <f>Test!E90</f>
        <v>41.976399999999998</v>
      </c>
      <c r="P20" s="18">
        <f>Test!F90</f>
        <v>71346.839000000007</v>
      </c>
      <c r="Q20" s="18">
        <f>Test!G90</f>
        <v>12.831</v>
      </c>
      <c r="R20" s="19">
        <f t="shared" si="4"/>
        <v>19.81856638888889</v>
      </c>
      <c r="S20" s="17">
        <f t="shared" si="5"/>
        <v>0.94161477657665449</v>
      </c>
      <c r="T20" s="18">
        <f t="shared" si="6"/>
        <v>1.0180101555061885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2428.08</v>
      </c>
      <c r="E21" s="18">
        <f>Reference!C91</f>
        <v>35.255200000000002</v>
      </c>
      <c r="F21" s="18">
        <f>Reference!D91</f>
        <v>38.432899999999997</v>
      </c>
      <c r="G21" s="18">
        <f>Reference!E91</f>
        <v>40.5931</v>
      </c>
      <c r="H21" s="18">
        <f>Reference!F91</f>
        <v>47140.057000000001</v>
      </c>
      <c r="I21" s="18">
        <f>Reference!G91</f>
        <v>11.038</v>
      </c>
      <c r="J21" s="19">
        <f t="shared" si="3"/>
        <v>13.094460277777777</v>
      </c>
      <c r="L21" s="17">
        <f>Test!B91</f>
        <v>2411.4279999999999</v>
      </c>
      <c r="M21" s="18">
        <f>Test!C91</f>
        <v>35.267699999999998</v>
      </c>
      <c r="N21" s="18">
        <f>Test!D91</f>
        <v>38.464399999999998</v>
      </c>
      <c r="O21" s="18">
        <f>Test!E91</f>
        <v>40.590000000000003</v>
      </c>
      <c r="P21" s="18">
        <f>Test!F91</f>
        <v>40298.976999999999</v>
      </c>
      <c r="Q21" s="18">
        <f>Test!G91</f>
        <v>11.231999999999999</v>
      </c>
      <c r="R21" s="19">
        <f t="shared" si="4"/>
        <v>11.194160277777778</v>
      </c>
      <c r="S21" s="17">
        <f t="shared" si="5"/>
        <v>0.85487756198512865</v>
      </c>
      <c r="T21" s="18">
        <f t="shared" si="6"/>
        <v>1.0175756477622757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1135.7760000000001</v>
      </c>
      <c r="E22" s="23">
        <f>Reference!C92</f>
        <v>33.002099999999999</v>
      </c>
      <c r="F22" s="23">
        <f>Reference!D92</f>
        <v>37.358899999999998</v>
      </c>
      <c r="G22" s="23">
        <f>Reference!E92</f>
        <v>38.86</v>
      </c>
      <c r="H22" s="23">
        <f>Reference!F92</f>
        <v>27744.538</v>
      </c>
      <c r="I22" s="23">
        <f>Reference!G92</f>
        <v>10.079000000000001</v>
      </c>
      <c r="J22" s="24">
        <f t="shared" si="3"/>
        <v>7.7068161111111113</v>
      </c>
      <c r="L22" s="22">
        <f>Test!B92</f>
        <v>1131.104</v>
      </c>
      <c r="M22" s="23">
        <f>Test!C92</f>
        <v>33.015700000000002</v>
      </c>
      <c r="N22" s="23">
        <f>Test!D92</f>
        <v>37.372999999999998</v>
      </c>
      <c r="O22" s="23">
        <f>Test!E92</f>
        <v>38.872100000000003</v>
      </c>
      <c r="P22" s="23">
        <f>Test!F92</f>
        <v>21578.345000000001</v>
      </c>
      <c r="Q22" s="23">
        <f>Test!G92</f>
        <v>10.273999999999999</v>
      </c>
      <c r="R22" s="24">
        <f t="shared" si="4"/>
        <v>5.9939847222222227</v>
      </c>
      <c r="S22" s="17">
        <f t="shared" si="5"/>
        <v>0.77775110185651675</v>
      </c>
      <c r="T22" s="18">
        <f t="shared" si="6"/>
        <v>1.0193471574560966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8956.2440000000006</v>
      </c>
      <c r="E23" s="13">
        <f>Reference!C93</f>
        <v>38.8932</v>
      </c>
      <c r="F23" s="13">
        <f>Reference!D93</f>
        <v>43.912700000000001</v>
      </c>
      <c r="G23" s="13">
        <f>Reference!E93</f>
        <v>45.0364</v>
      </c>
      <c r="H23" s="13">
        <f>Reference!F93</f>
        <v>129273.939</v>
      </c>
      <c r="I23" s="13">
        <f>Reference!G93</f>
        <v>17.625</v>
      </c>
      <c r="J23" s="14">
        <f t="shared" si="3"/>
        <v>35.9094275</v>
      </c>
      <c r="L23" s="12">
        <f>Test!B93</f>
        <v>8878.0360000000001</v>
      </c>
      <c r="M23" s="13">
        <f>Test!C93</f>
        <v>38.895800000000001</v>
      </c>
      <c r="N23" s="13">
        <f>Test!D93</f>
        <v>43.937199999999997</v>
      </c>
      <c r="O23" s="13">
        <f>Test!E93</f>
        <v>45.041400000000003</v>
      </c>
      <c r="P23" s="13">
        <f>Test!F93</f>
        <v>128788.83500000001</v>
      </c>
      <c r="Q23" s="13">
        <f>Test!G93</f>
        <v>17.821000000000002</v>
      </c>
      <c r="R23" s="14">
        <f t="shared" si="4"/>
        <v>35.774676388888892</v>
      </c>
      <c r="S23" s="17">
        <f t="shared" si="5"/>
        <v>0.99624747258610269</v>
      </c>
      <c r="T23" s="18">
        <f t="shared" si="6"/>
        <v>1.0111205673758865</v>
      </c>
      <c r="U23" s="91"/>
      <c r="V23" s="37">
        <f>bdrate($D23:$D26,E23:E26,$L23:$L26,M23:M26)</f>
        <v>-8.6713567855228879E-3</v>
      </c>
      <c r="W23" s="42">
        <f>bdrate($D23:$D26,F23:F26,$L23:$L26,N23:N26)</f>
        <v>-2.4635184432024726E-2</v>
      </c>
      <c r="X23" s="42">
        <f>bdrate($D23:$D26,G23:G26,$L23:$L26,O23:O26)</f>
        <v>-1.0978902984222216E-2</v>
      </c>
      <c r="Y23" s="40">
        <f>bdrateOld($D23:$D26,E23:E26,$L23:$L26,M23:M26)</f>
        <v>-8.8521600222537522E-3</v>
      </c>
      <c r="Z23" s="44">
        <f>bdrateOld($D23:$D26,F23:F26,$L23:$L26,N23:N26)</f>
        <v>-2.4449122608739438E-2</v>
      </c>
      <c r="AA23" s="45">
        <f>bdrateOld($D23:$D26,G23:G26,$L23:$L26,O23:O26)</f>
        <v>-1.0972450340057227E-2</v>
      </c>
    </row>
    <row r="24" spans="1:27" x14ac:dyDescent="0.2">
      <c r="A24" s="34"/>
      <c r="B24" s="85"/>
      <c r="C24" s="16">
        <v>32</v>
      </c>
      <c r="D24" s="17">
        <f>Reference!B94</f>
        <v>4453.5720000000001</v>
      </c>
      <c r="E24" s="18">
        <f>Reference!C94</f>
        <v>37.836399999999998</v>
      </c>
      <c r="F24" s="18">
        <f>Reference!D94</f>
        <v>43.061999999999998</v>
      </c>
      <c r="G24" s="18">
        <f>Reference!E94</f>
        <v>43.591799999999999</v>
      </c>
      <c r="H24" s="18">
        <f>Reference!F94</f>
        <v>81599.366999999998</v>
      </c>
      <c r="I24" s="18">
        <f>Reference!G94</f>
        <v>15.532</v>
      </c>
      <c r="J24" s="19">
        <f t="shared" si="3"/>
        <v>22.666490833333334</v>
      </c>
      <c r="L24" s="17">
        <f>Test!B94</f>
        <v>4425.6120000000001</v>
      </c>
      <c r="M24" s="18">
        <f>Test!C94</f>
        <v>37.839599999999997</v>
      </c>
      <c r="N24" s="18">
        <f>Test!D94</f>
        <v>43.091799999999999</v>
      </c>
      <c r="O24" s="18">
        <f>Test!E94</f>
        <v>43.599499999999999</v>
      </c>
      <c r="P24" s="18">
        <f>Test!F94</f>
        <v>76319.816999999995</v>
      </c>
      <c r="Q24" s="18">
        <f>Test!G94</f>
        <v>15.771000000000001</v>
      </c>
      <c r="R24" s="19">
        <f t="shared" si="4"/>
        <v>21.199949166666666</v>
      </c>
      <c r="S24" s="17">
        <f t="shared" si="5"/>
        <v>0.93529913044546042</v>
      </c>
      <c r="T24" s="18">
        <f t="shared" si="6"/>
        <v>1.0153875869173321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2266.9839999999999</v>
      </c>
      <c r="E25" s="18">
        <f>Reference!C95</f>
        <v>36.320399999999999</v>
      </c>
      <c r="F25" s="18">
        <f>Reference!D95</f>
        <v>41.960999999999999</v>
      </c>
      <c r="G25" s="18">
        <f>Reference!E95</f>
        <v>41.917900000000003</v>
      </c>
      <c r="H25" s="18">
        <f>Reference!F95</f>
        <v>48995.991000000002</v>
      </c>
      <c r="I25" s="18">
        <f>Reference!G95</f>
        <v>13.343999999999999</v>
      </c>
      <c r="J25" s="19">
        <f t="shared" si="3"/>
        <v>13.6099975</v>
      </c>
      <c r="L25" s="17">
        <f>Test!B95</f>
        <v>2252.9679999999998</v>
      </c>
      <c r="M25" s="18">
        <f>Test!C95</f>
        <v>36.328499999999998</v>
      </c>
      <c r="N25" s="18">
        <f>Test!D95</f>
        <v>41.9848</v>
      </c>
      <c r="O25" s="18">
        <f>Test!E95</f>
        <v>41.924700000000001</v>
      </c>
      <c r="P25" s="18">
        <f>Test!F95</f>
        <v>42309.557999999997</v>
      </c>
      <c r="Q25" s="18">
        <f>Test!G95</f>
        <v>13.502000000000001</v>
      </c>
      <c r="R25" s="19">
        <f t="shared" si="4"/>
        <v>11.752654999999999</v>
      </c>
      <c r="S25" s="17">
        <f t="shared" si="5"/>
        <v>0.86353101828269985</v>
      </c>
      <c r="T25" s="18">
        <f t="shared" si="6"/>
        <v>1.0118405275779379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1117.2840000000001</v>
      </c>
      <c r="E26" s="23">
        <f>Reference!C96</f>
        <v>34.247199999999999</v>
      </c>
      <c r="F26" s="23">
        <f>Reference!D96</f>
        <v>40.576300000000003</v>
      </c>
      <c r="G26" s="23">
        <f>Reference!E96</f>
        <v>40.035499999999999</v>
      </c>
      <c r="H26" s="23">
        <f>Reference!F96</f>
        <v>29044.882000000001</v>
      </c>
      <c r="I26" s="23">
        <f>Reference!G96</f>
        <v>11.074999999999999</v>
      </c>
      <c r="J26" s="24">
        <f t="shared" si="3"/>
        <v>8.0680227777777773</v>
      </c>
      <c r="L26" s="22">
        <f>Test!B96</f>
        <v>1110.5239999999999</v>
      </c>
      <c r="M26" s="23">
        <f>Test!C96</f>
        <v>34.250100000000003</v>
      </c>
      <c r="N26" s="23">
        <f>Test!D96</f>
        <v>40.631100000000004</v>
      </c>
      <c r="O26" s="23">
        <f>Test!E96</f>
        <v>40.075099999999999</v>
      </c>
      <c r="P26" s="23">
        <f>Test!F96</f>
        <v>22629.654999999999</v>
      </c>
      <c r="Q26" s="23">
        <f>Test!G96</f>
        <v>11.17</v>
      </c>
      <c r="R26" s="24">
        <f t="shared" si="4"/>
        <v>6.2860152777777776</v>
      </c>
      <c r="S26" s="17">
        <f t="shared" si="5"/>
        <v>0.77912711093128206</v>
      </c>
      <c r="T26" s="18">
        <f t="shared" si="6"/>
        <v>1.0085778781038375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7006.12</v>
      </c>
      <c r="E27" s="13">
        <f>Reference!C97</f>
        <v>39.642499999999998</v>
      </c>
      <c r="F27" s="13">
        <f>Reference!D97</f>
        <v>43.6462</v>
      </c>
      <c r="G27" s="13">
        <f>Reference!E97</f>
        <v>44.8414</v>
      </c>
      <c r="H27" s="13">
        <f>Reference!F97</f>
        <v>118128.122</v>
      </c>
      <c r="I27" s="13">
        <f>Reference!G97</f>
        <v>18.25</v>
      </c>
      <c r="J27" s="14">
        <f>H27/3600</f>
        <v>32.813367222222226</v>
      </c>
      <c r="L27" s="12">
        <f>Test!B97</f>
        <v>6957.2039999999997</v>
      </c>
      <c r="M27" s="13">
        <f>Test!C97</f>
        <v>39.639299999999999</v>
      </c>
      <c r="N27" s="13">
        <f>Test!D97</f>
        <v>43.657699999999998</v>
      </c>
      <c r="O27" s="13">
        <f>Test!E97</f>
        <v>44.8583</v>
      </c>
      <c r="P27" s="13">
        <f>Test!F97</f>
        <v>115221.913</v>
      </c>
      <c r="Q27" s="13">
        <f>Test!G97</f>
        <v>18.553000000000001</v>
      </c>
      <c r="R27" s="14">
        <f>P27/3600</f>
        <v>32.006086944444448</v>
      </c>
      <c r="S27" s="17">
        <f t="shared" si="2"/>
        <v>0.97539782271320619</v>
      </c>
      <c r="T27" s="18">
        <f t="shared" si="2"/>
        <v>1.0166027397260275</v>
      </c>
      <c r="U27" s="91"/>
      <c r="V27" s="37">
        <f>bdrate($D27:$D30,E27:E30,$L27:$L30,M27:M30)</f>
        <v>-8.0640215830491968E-3</v>
      </c>
      <c r="W27" s="42">
        <f>bdrate($D27:$D30,F27:F30,$L27:$L30,N27:N30)</f>
        <v>-1.9521204180946494E-2</v>
      </c>
      <c r="X27" s="43">
        <f>bdrate($D27:$D30,G27:G30,$L27:$L30,O27:O30)</f>
        <v>-2.1269651079195318E-2</v>
      </c>
      <c r="Y27" s="37">
        <f>bdrateOld($D27:$D30,E27:E30,$L27:$L30,M27:M30)</f>
        <v>-7.8028946967232393E-3</v>
      </c>
      <c r="Z27" s="42">
        <f>bdrateOld($D27:$D30,F27:F30,$L27:$L30,N27:N30)</f>
        <v>-1.9340618990150715E-2</v>
      </c>
      <c r="AA27" s="43">
        <f>bdrateOld($D27:$D30,G27:G30,$L27:$L30,O27:O30)</f>
        <v>-2.1981140344358718E-2</v>
      </c>
    </row>
    <row r="28" spans="1:27" x14ac:dyDescent="0.2">
      <c r="A28" s="16"/>
      <c r="B28" s="85"/>
      <c r="C28" s="16">
        <v>48</v>
      </c>
      <c r="D28" s="17">
        <f>Reference!B98</f>
        <v>3287.0839999999998</v>
      </c>
      <c r="E28" s="18">
        <f>Reference!C98</f>
        <v>38.437199999999997</v>
      </c>
      <c r="F28" s="18">
        <f>Reference!D98</f>
        <v>42.877600000000001</v>
      </c>
      <c r="G28" s="18">
        <f>Reference!E98</f>
        <v>44.168999999999997</v>
      </c>
      <c r="H28" s="18">
        <f>Reference!F98</f>
        <v>72930.350999999995</v>
      </c>
      <c r="I28" s="18">
        <f>Reference!G98</f>
        <v>15.632</v>
      </c>
      <c r="J28" s="19">
        <f t="shared" ref="J28:J46" si="7">H28/3600</f>
        <v>20.258430833333332</v>
      </c>
      <c r="L28" s="17">
        <f>Test!B98</f>
        <v>3261.6840000000002</v>
      </c>
      <c r="M28" s="18">
        <f>Test!C98</f>
        <v>38.438400000000001</v>
      </c>
      <c r="N28" s="18">
        <f>Test!D98</f>
        <v>42.892600000000002</v>
      </c>
      <c r="O28" s="18">
        <f>Test!E98</f>
        <v>44.179499999999997</v>
      </c>
      <c r="P28" s="18">
        <f>Test!F98</f>
        <v>65891.630999999994</v>
      </c>
      <c r="Q28" s="18">
        <f>Test!G98</f>
        <v>15.993</v>
      </c>
      <c r="R28" s="19">
        <f t="shared" ref="R28:R46" si="8">P28/3600</f>
        <v>18.30323083333333</v>
      </c>
      <c r="S28" s="17">
        <f t="shared" si="2"/>
        <v>0.90348709551665252</v>
      </c>
      <c r="T28" s="18">
        <f t="shared" si="2"/>
        <v>1.0230936540429887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1561.2080000000001</v>
      </c>
      <c r="E29" s="18">
        <f>Reference!C99</f>
        <v>36.723399999999998</v>
      </c>
      <c r="F29" s="18">
        <f>Reference!D99</f>
        <v>41.829099999999997</v>
      </c>
      <c r="G29" s="18">
        <f>Reference!E99</f>
        <v>43.150500000000001</v>
      </c>
      <c r="H29" s="18">
        <f>Reference!F99</f>
        <v>42247.322</v>
      </c>
      <c r="I29" s="18">
        <f>Reference!G99</f>
        <v>14.215999999999999</v>
      </c>
      <c r="J29" s="19">
        <f t="shared" si="7"/>
        <v>11.735367222222223</v>
      </c>
      <c r="L29" s="17">
        <f>Test!B99</f>
        <v>1553.9760000000001</v>
      </c>
      <c r="M29" s="18">
        <f>Test!C99</f>
        <v>36.733800000000002</v>
      </c>
      <c r="N29" s="18">
        <f>Test!D99</f>
        <v>41.861899999999999</v>
      </c>
      <c r="O29" s="18">
        <f>Test!E99</f>
        <v>43.180300000000003</v>
      </c>
      <c r="P29" s="18">
        <f>Test!F99</f>
        <v>34803.688999999998</v>
      </c>
      <c r="Q29" s="18">
        <f>Test!G99</f>
        <v>14.513999999999999</v>
      </c>
      <c r="R29" s="19">
        <f t="shared" si="8"/>
        <v>9.6676913888888887</v>
      </c>
      <c r="S29" s="17">
        <f t="shared" si="2"/>
        <v>0.82380816942669166</v>
      </c>
      <c r="T29" s="18">
        <f t="shared" si="2"/>
        <v>1.0209622960045019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701.46</v>
      </c>
      <c r="E30" s="23">
        <f>Reference!C100</f>
        <v>34.487900000000003</v>
      </c>
      <c r="F30" s="23">
        <f>Reference!D100</f>
        <v>40.596699999999998</v>
      </c>
      <c r="G30" s="23">
        <f>Reference!E100</f>
        <v>41.775700000000001</v>
      </c>
      <c r="H30" s="23">
        <f>Reference!F100</f>
        <v>23111.772000000001</v>
      </c>
      <c r="I30" s="23">
        <f>Reference!G100</f>
        <v>11.782999999999999</v>
      </c>
      <c r="J30" s="24">
        <f t="shared" si="7"/>
        <v>6.4199366666666666</v>
      </c>
      <c r="L30" s="22">
        <f>Test!B100</f>
        <v>696.34400000000005</v>
      </c>
      <c r="M30" s="23">
        <f>Test!C100</f>
        <v>34.488399999999999</v>
      </c>
      <c r="N30" s="23">
        <f>Test!D100</f>
        <v>40.581499999999998</v>
      </c>
      <c r="O30" s="23">
        <f>Test!E100</f>
        <v>41.794600000000003</v>
      </c>
      <c r="P30" s="23">
        <f>Test!F100</f>
        <v>17586.921999999999</v>
      </c>
      <c r="Q30" s="23">
        <f>Test!G100</f>
        <v>12.081</v>
      </c>
      <c r="R30" s="24">
        <f t="shared" si="8"/>
        <v>4.8852561111111106</v>
      </c>
      <c r="S30" s="17">
        <f t="shared" si="2"/>
        <v>0.76095082627156407</v>
      </c>
      <c r="T30" s="18">
        <f t="shared" si="2"/>
        <v>1.0252906730034796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5884.2039999999997</v>
      </c>
      <c r="E31" s="13">
        <f>Reference!C101</f>
        <v>44.780500000000004</v>
      </c>
      <c r="F31" s="13">
        <f>Reference!D101</f>
        <v>47.137999999999998</v>
      </c>
      <c r="G31" s="13">
        <f>Reference!E101</f>
        <v>48.1004</v>
      </c>
      <c r="H31" s="13">
        <f>Reference!F101</f>
        <v>98174.97</v>
      </c>
      <c r="I31" s="13">
        <f>Reference!G101</f>
        <v>18.234000000000002</v>
      </c>
      <c r="J31" s="14">
        <f t="shared" si="7"/>
        <v>27.270825000000002</v>
      </c>
      <c r="L31" s="12">
        <f>Test!B101</f>
        <v>5839.6840000000002</v>
      </c>
      <c r="M31" s="13">
        <f>Test!C101</f>
        <v>44.793500000000002</v>
      </c>
      <c r="N31" s="13">
        <f>Test!D101</f>
        <v>47.185200000000002</v>
      </c>
      <c r="O31" s="13">
        <f>Test!E101</f>
        <v>48.126800000000003</v>
      </c>
      <c r="P31" s="13">
        <f>Test!F101</f>
        <v>87458.801000000007</v>
      </c>
      <c r="Q31" s="13">
        <f>Test!G101</f>
        <v>18.23</v>
      </c>
      <c r="R31" s="14">
        <f t="shared" si="8"/>
        <v>24.29411138888889</v>
      </c>
      <c r="S31" s="17">
        <f t="shared" si="2"/>
        <v>0.89084622078315889</v>
      </c>
      <c r="T31" s="18">
        <f t="shared" si="2"/>
        <v>0.99978062959306779</v>
      </c>
      <c r="U31" s="91"/>
      <c r="V31" s="37">
        <f>bdrate($D31:$D34,E31:E34,$L31:$L34,M31:M34)</f>
        <v>-8.8436327712918539E-3</v>
      </c>
      <c r="W31" s="42">
        <f>bdrate($D31:$D34,F31:F34,$L31:$L34,N31:N34)</f>
        <v>-1.8539941856519637E-2</v>
      </c>
      <c r="X31" s="42">
        <f>bdrate($D31:$D34,G31:G34,$L31:$L34,O31:O34)</f>
        <v>-1.3601100923714027E-2</v>
      </c>
      <c r="Y31" s="40">
        <f>bdrateOld($D31:$D34,E31:E34,$L31:$L34,M31:M34)</f>
        <v>-8.9182515313898092E-3</v>
      </c>
      <c r="Z31" s="44">
        <f>bdrateOld($D31:$D34,F31:F34,$L31:$L34,N31:N34)</f>
        <v>-1.8579682725744506E-2</v>
      </c>
      <c r="AA31" s="45">
        <f>bdrateOld($D31:$D34,G31:G34,$L31:$L34,O31:O34)</f>
        <v>-1.3483775081948979E-2</v>
      </c>
    </row>
    <row r="32" spans="1:27" x14ac:dyDescent="0.2">
      <c r="A32" s="16"/>
      <c r="B32" s="85"/>
      <c r="C32" s="16">
        <v>48</v>
      </c>
      <c r="D32" s="17">
        <f>Reference!B102</f>
        <v>3597.8960000000002</v>
      </c>
      <c r="E32" s="18">
        <f>Reference!C102</f>
        <v>42.526299999999999</v>
      </c>
      <c r="F32" s="18">
        <f>Reference!D102</f>
        <v>45.558900000000001</v>
      </c>
      <c r="G32" s="18">
        <f>Reference!E102</f>
        <v>46.319600000000001</v>
      </c>
      <c r="H32" s="18">
        <f>Reference!F102</f>
        <v>71340.346000000005</v>
      </c>
      <c r="I32" s="18">
        <f>Reference!G102</f>
        <v>15.842000000000001</v>
      </c>
      <c r="J32" s="19">
        <f t="shared" si="7"/>
        <v>19.816762777777779</v>
      </c>
      <c r="L32" s="17">
        <f>Test!B102</f>
        <v>3569.0920000000001</v>
      </c>
      <c r="M32" s="18">
        <f>Test!C102</f>
        <v>42.528599999999997</v>
      </c>
      <c r="N32" s="18">
        <f>Test!D102</f>
        <v>45.587400000000002</v>
      </c>
      <c r="O32" s="18">
        <f>Test!E102</f>
        <v>46.361699999999999</v>
      </c>
      <c r="P32" s="18">
        <f>Test!F102</f>
        <v>60251.822</v>
      </c>
      <c r="Q32" s="18">
        <f>Test!G102</f>
        <v>16.158999999999999</v>
      </c>
      <c r="R32" s="19">
        <f t="shared" si="8"/>
        <v>16.736617222222222</v>
      </c>
      <c r="S32" s="17">
        <f t="shared" si="2"/>
        <v>0.84456868207507707</v>
      </c>
      <c r="T32" s="18">
        <f t="shared" si="2"/>
        <v>1.0200100997348818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1996.008</v>
      </c>
      <c r="E33" s="18">
        <f>Reference!C103</f>
        <v>39.698300000000003</v>
      </c>
      <c r="F33" s="18">
        <f>Reference!D103</f>
        <v>43.895699999999998</v>
      </c>
      <c r="G33" s="18">
        <f>Reference!E103</f>
        <v>44.397799999999997</v>
      </c>
      <c r="H33" s="18">
        <f>Reference!F103</f>
        <v>47925.77</v>
      </c>
      <c r="I33" s="18">
        <f>Reference!G103</f>
        <v>13.723000000000001</v>
      </c>
      <c r="J33" s="19">
        <f t="shared" si="7"/>
        <v>13.312713888888888</v>
      </c>
      <c r="L33" s="17">
        <f>Test!B103</f>
        <v>1977.576</v>
      </c>
      <c r="M33" s="18">
        <f>Test!C103</f>
        <v>39.697800000000001</v>
      </c>
      <c r="N33" s="18">
        <f>Test!D103</f>
        <v>43.926600000000001</v>
      </c>
      <c r="O33" s="18">
        <f>Test!E103</f>
        <v>44.394199999999998</v>
      </c>
      <c r="P33" s="18">
        <f>Test!F103</f>
        <v>37658.400000000001</v>
      </c>
      <c r="Q33" s="18">
        <f>Test!G103</f>
        <v>14.093</v>
      </c>
      <c r="R33" s="19">
        <f t="shared" si="8"/>
        <v>10.460666666666667</v>
      </c>
      <c r="S33" s="17">
        <f t="shared" si="2"/>
        <v>0.78576515306900663</v>
      </c>
      <c r="T33" s="18">
        <f t="shared" si="2"/>
        <v>1.0269620345405523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1008.936</v>
      </c>
      <c r="E34" s="23">
        <f>Reference!C104</f>
        <v>36.496000000000002</v>
      </c>
      <c r="F34" s="23">
        <f>Reference!D104</f>
        <v>42.233400000000003</v>
      </c>
      <c r="G34" s="23">
        <f>Reference!E104</f>
        <v>42.458500000000001</v>
      </c>
      <c r="H34" s="23">
        <f>Reference!F104</f>
        <v>29512.55</v>
      </c>
      <c r="I34" s="23">
        <f>Reference!G104</f>
        <v>11.489000000000001</v>
      </c>
      <c r="J34" s="24">
        <f t="shared" si="7"/>
        <v>8.1979305555555548</v>
      </c>
      <c r="L34" s="22">
        <f>Test!B104</f>
        <v>1001.704</v>
      </c>
      <c r="M34" s="23">
        <f>Test!C104</f>
        <v>36.498699999999999</v>
      </c>
      <c r="N34" s="23">
        <f>Test!D104</f>
        <v>42.246699999999997</v>
      </c>
      <c r="O34" s="23">
        <f>Test!E104</f>
        <v>42.469499999999996</v>
      </c>
      <c r="P34" s="23">
        <f>Test!F104</f>
        <v>21286.284</v>
      </c>
      <c r="Q34" s="23">
        <f>Test!G104</f>
        <v>11.771000000000001</v>
      </c>
      <c r="R34" s="24">
        <f t="shared" si="8"/>
        <v>5.9128566666666664</v>
      </c>
      <c r="S34" s="17">
        <f t="shared" si="2"/>
        <v>0.72126210713747207</v>
      </c>
      <c r="T34" s="18">
        <f t="shared" si="2"/>
        <v>1.024545217164244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4244.1880000000001</v>
      </c>
      <c r="E35" s="13">
        <f>Reference!C105</f>
        <v>38.509500000000003</v>
      </c>
      <c r="F35" s="13">
        <f>Reference!D105</f>
        <v>45.811399999999999</v>
      </c>
      <c r="G35" s="13">
        <f>Reference!E105</f>
        <v>46.033999999999999</v>
      </c>
      <c r="H35" s="13">
        <f>Reference!F105</f>
        <v>54609.707000000002</v>
      </c>
      <c r="I35" s="13">
        <f>Reference!G105</f>
        <v>7.6020000000000003</v>
      </c>
      <c r="J35" s="14">
        <f t="shared" si="7"/>
        <v>15.169363055555555</v>
      </c>
      <c r="L35" s="12">
        <f>Test!B105</f>
        <v>4242.0479999999998</v>
      </c>
      <c r="M35" s="13">
        <f>Test!C105</f>
        <v>38.523400000000002</v>
      </c>
      <c r="N35" s="13">
        <f>Test!D105</f>
        <v>45.802700000000002</v>
      </c>
      <c r="O35" s="13">
        <f>Test!E105</f>
        <v>46.016500000000001</v>
      </c>
      <c r="P35" s="13">
        <f>Test!F105</f>
        <v>56152.243999999999</v>
      </c>
      <c r="Q35" s="13">
        <f>Test!G105</f>
        <v>7.5510000000000002</v>
      </c>
      <c r="R35" s="14">
        <f t="shared" si="8"/>
        <v>15.597845555555555</v>
      </c>
      <c r="S35" s="12">
        <f t="shared" si="2"/>
        <v>1.0282465716214151</v>
      </c>
      <c r="T35" s="13">
        <f t="shared" si="2"/>
        <v>0.99329123914759276</v>
      </c>
      <c r="U35" s="90"/>
      <c r="V35" s="37">
        <f>bdrate($D35:$D38,E35:E38,$L35:$L38,M35:M38)</f>
        <v>-1.4613279502045717E-2</v>
      </c>
      <c r="W35" s="42">
        <f>bdrate($D35:$D38,F35:F38,$L35:$L38,N35:N38)</f>
        <v>-1.8467344546696518E-3</v>
      </c>
      <c r="X35" s="42">
        <f>bdrate($D35:$D38,G35:G38,$L35:$L38,O35:O38)</f>
        <v>-1.9769327747841681E-2</v>
      </c>
      <c r="Y35" s="40">
        <f>bdrateOld($D35:$D38,E35:E38,$L35:$L38,M35:M38)</f>
        <v>-1.497380791997216E-2</v>
      </c>
      <c r="Z35" s="44">
        <f>bdrateOld($D35:$D38,F35:F38,$L35:$L38,N35:N38)</f>
        <v>1.03764521817995E-3</v>
      </c>
      <c r="AA35" s="45">
        <f>bdrateOld($D35:$D38,G35:G38,$L35:$L38,O35:O38)</f>
        <v>-1.9405946517350947E-2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1802.4839999999999</v>
      </c>
      <c r="E36" s="18">
        <f>Reference!C106</f>
        <v>36.897500000000001</v>
      </c>
      <c r="F36" s="18">
        <f>Reference!D106</f>
        <v>44.584200000000003</v>
      </c>
      <c r="G36" s="18">
        <f>Reference!E106</f>
        <v>44.810899999999997</v>
      </c>
      <c r="H36" s="18">
        <f>Reference!F106</f>
        <v>29943.851999999999</v>
      </c>
      <c r="I36" s="18">
        <f>Reference!G106</f>
        <v>6.0209999999999999</v>
      </c>
      <c r="J36" s="19">
        <f t="shared" si="7"/>
        <v>8.3177366666666668</v>
      </c>
      <c r="L36" s="17">
        <f>Test!B106</f>
        <v>1791.652</v>
      </c>
      <c r="M36" s="18">
        <f>Test!C106</f>
        <v>36.910499999999999</v>
      </c>
      <c r="N36" s="18">
        <f>Test!D106</f>
        <v>44.616799999999998</v>
      </c>
      <c r="O36" s="18">
        <f>Test!E106</f>
        <v>44.8247</v>
      </c>
      <c r="P36" s="18">
        <f>Test!F106</f>
        <v>29162.03</v>
      </c>
      <c r="Q36" s="18">
        <f>Test!G106</f>
        <v>6.0389999999999997</v>
      </c>
      <c r="R36" s="19">
        <f t="shared" si="8"/>
        <v>8.1005638888888889</v>
      </c>
      <c r="S36" s="17">
        <f t="shared" si="2"/>
        <v>0.97389039993919291</v>
      </c>
      <c r="T36" s="18">
        <f t="shared" si="2"/>
        <v>1.0029895366218236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828.13199999999995</v>
      </c>
      <c r="E37" s="18">
        <f>Reference!C107</f>
        <v>34.89</v>
      </c>
      <c r="F37" s="18">
        <f>Reference!D107</f>
        <v>43.183799999999998</v>
      </c>
      <c r="G37" s="18">
        <f>Reference!E107</f>
        <v>43.377899999999997</v>
      </c>
      <c r="H37" s="18">
        <f>Reference!F107</f>
        <v>16873.983</v>
      </c>
      <c r="I37" s="18">
        <f>Reference!G107</f>
        <v>5.0999999999999996</v>
      </c>
      <c r="J37" s="19">
        <f t="shared" si="7"/>
        <v>4.6872175</v>
      </c>
      <c r="L37" s="17">
        <f>Test!B107</f>
        <v>818.88400000000001</v>
      </c>
      <c r="M37" s="18">
        <f>Test!C107</f>
        <v>34.913800000000002</v>
      </c>
      <c r="N37" s="18">
        <f>Test!D107</f>
        <v>43.143500000000003</v>
      </c>
      <c r="O37" s="18">
        <f>Test!E107</f>
        <v>43.404000000000003</v>
      </c>
      <c r="P37" s="18">
        <f>Test!F107</f>
        <v>15134.191000000001</v>
      </c>
      <c r="Q37" s="18">
        <f>Test!G107</f>
        <v>5.05</v>
      </c>
      <c r="R37" s="19">
        <f t="shared" si="8"/>
        <v>4.2039419444444448</v>
      </c>
      <c r="S37" s="17">
        <f t="shared" si="2"/>
        <v>0.89689500102020969</v>
      </c>
      <c r="T37" s="18">
        <f t="shared" si="2"/>
        <v>0.99019607843137258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396.77600000000001</v>
      </c>
      <c r="E38" s="23">
        <f>Reference!C108</f>
        <v>32.285899999999998</v>
      </c>
      <c r="F38" s="23">
        <f>Reference!D108</f>
        <v>41.229500000000002</v>
      </c>
      <c r="G38" s="23">
        <f>Reference!E108</f>
        <v>41.601900000000001</v>
      </c>
      <c r="H38" s="23">
        <f>Reference!F108</f>
        <v>9485.69</v>
      </c>
      <c r="I38" s="23">
        <f>Reference!G108</f>
        <v>4.4710000000000001</v>
      </c>
      <c r="J38" s="24">
        <f t="shared" si="7"/>
        <v>2.6349138888888892</v>
      </c>
      <c r="L38" s="22">
        <f>Test!B108</f>
        <v>393.8</v>
      </c>
      <c r="M38" s="23">
        <f>Test!C108</f>
        <v>32.2988</v>
      </c>
      <c r="N38" s="23">
        <f>Test!D108</f>
        <v>41.161999999999999</v>
      </c>
      <c r="O38" s="23">
        <f>Test!E108</f>
        <v>41.6995</v>
      </c>
      <c r="P38" s="23">
        <f>Test!F108</f>
        <v>7892.8720000000003</v>
      </c>
      <c r="Q38" s="23">
        <f>Test!G108</f>
        <v>4.4139999999999997</v>
      </c>
      <c r="R38" s="24">
        <f t="shared" si="8"/>
        <v>2.1924644444444445</v>
      </c>
      <c r="S38" s="17">
        <f t="shared" si="2"/>
        <v>0.83208200984851921</v>
      </c>
      <c r="T38" s="18">
        <f t="shared" si="2"/>
        <v>0.98725117423395203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2519.36</v>
      </c>
      <c r="E39" s="13">
        <f>Reference!C109</f>
        <v>40.575499999999998</v>
      </c>
      <c r="F39" s="13">
        <f>Reference!D109</f>
        <v>45.993400000000001</v>
      </c>
      <c r="G39" s="13">
        <f>Reference!E109</f>
        <v>47.140099999999997</v>
      </c>
      <c r="H39" s="13">
        <f>Reference!F109</f>
        <v>45303.548000000003</v>
      </c>
      <c r="I39" s="13">
        <f>Reference!G109</f>
        <v>7.782</v>
      </c>
      <c r="J39" s="14">
        <f t="shared" si="7"/>
        <v>12.584318888888889</v>
      </c>
      <c r="L39" s="12">
        <f>Test!B109</f>
        <v>2508.0839999999998</v>
      </c>
      <c r="M39" s="13">
        <f>Test!C109</f>
        <v>40.579599999999999</v>
      </c>
      <c r="N39" s="13">
        <f>Test!D109</f>
        <v>46.006</v>
      </c>
      <c r="O39" s="13">
        <f>Test!E109</f>
        <v>47.132300000000001</v>
      </c>
      <c r="P39" s="13">
        <f>Test!F109</f>
        <v>44483.046999999999</v>
      </c>
      <c r="Q39" s="13">
        <f>Test!G109</f>
        <v>7.9589999999999996</v>
      </c>
      <c r="R39" s="14">
        <f t="shared" si="8"/>
        <v>12.356401944444444</v>
      </c>
      <c r="S39" s="17">
        <f t="shared" si="2"/>
        <v>0.98188881365318226</v>
      </c>
      <c r="T39" s="18">
        <f t="shared" si="2"/>
        <v>1.0227447956823439</v>
      </c>
      <c r="U39" s="91"/>
      <c r="V39" s="37">
        <f>bdrate($D39:$D42,E39:E42,$L39:$L42,M39:M42)</f>
        <v>-1.3282887842540281E-2</v>
      </c>
      <c r="W39" s="42">
        <f>bdrate($D39:$D42,F39:F42,$L39:$L42,N39:N42)</f>
        <v>-4.4361666078637674E-2</v>
      </c>
      <c r="X39" s="42">
        <f>bdrate($D39:$D42,G39:G42,$L39:$L42,O39:O42)</f>
        <v>-6.866292837921284E-3</v>
      </c>
      <c r="Y39" s="40">
        <f>bdrateOld($D39:$D42,E39:E42,$L39:$L42,M39:M42)</f>
        <v>-1.3026069999880208E-2</v>
      </c>
      <c r="Z39" s="44">
        <f>bdrateOld($D39:$D42,F39:F42,$L39:$L42,N39:N42)</f>
        <v>-4.0997627595993902E-2</v>
      </c>
      <c r="AA39" s="45">
        <f>bdrateOld($D39:$D42,G39:G42,$L39:$L42,O39:O42)</f>
        <v>-7.004160604974996E-3</v>
      </c>
    </row>
    <row r="40" spans="1:27" x14ac:dyDescent="0.2">
      <c r="A40" s="16"/>
      <c r="B40" s="85"/>
      <c r="C40" s="16">
        <v>32</v>
      </c>
      <c r="D40" s="17">
        <f>Reference!B110</f>
        <v>1155.992</v>
      </c>
      <c r="E40" s="18">
        <f>Reference!C110</f>
        <v>39.448999999999998</v>
      </c>
      <c r="F40" s="18">
        <f>Reference!D110</f>
        <v>45.360599999999998</v>
      </c>
      <c r="G40" s="18">
        <f>Reference!E110</f>
        <v>45.9056</v>
      </c>
      <c r="H40" s="18">
        <f>Reference!F110</f>
        <v>25904.314999999999</v>
      </c>
      <c r="I40" s="18">
        <f>Reference!G110</f>
        <v>6.3959999999999999</v>
      </c>
      <c r="J40" s="19">
        <f t="shared" si="7"/>
        <v>7.1956430555555553</v>
      </c>
      <c r="L40" s="17">
        <f>Test!B110</f>
        <v>1146.972</v>
      </c>
      <c r="M40" s="18">
        <f>Test!C110</f>
        <v>39.460500000000003</v>
      </c>
      <c r="N40" s="18">
        <f>Test!D110</f>
        <v>45.4131</v>
      </c>
      <c r="O40" s="18">
        <f>Test!E110</f>
        <v>45.898699999999998</v>
      </c>
      <c r="P40" s="18">
        <f>Test!F110</f>
        <v>23453.725999999999</v>
      </c>
      <c r="Q40" s="18">
        <f>Test!G110</f>
        <v>6.3529999999999998</v>
      </c>
      <c r="R40" s="19">
        <f t="shared" si="8"/>
        <v>6.5149238888888883</v>
      </c>
      <c r="S40" s="17">
        <f t="shared" si="2"/>
        <v>0.90539842493422429</v>
      </c>
      <c r="T40" s="18">
        <f t="shared" si="2"/>
        <v>0.99327704815509688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544.43600000000004</v>
      </c>
      <c r="E41" s="18">
        <f>Reference!C111</f>
        <v>37.886200000000002</v>
      </c>
      <c r="F41" s="18">
        <f>Reference!D111</f>
        <v>44.490400000000001</v>
      </c>
      <c r="G41" s="18">
        <f>Reference!E111</f>
        <v>44.259500000000003</v>
      </c>
      <c r="H41" s="18">
        <f>Reference!F111</f>
        <v>14701.147999999999</v>
      </c>
      <c r="I41" s="18">
        <f>Reference!G111</f>
        <v>5.4420000000000002</v>
      </c>
      <c r="J41" s="19">
        <f t="shared" si="7"/>
        <v>4.0836522222222218</v>
      </c>
      <c r="L41" s="17">
        <f>Test!B111</f>
        <v>537.67600000000004</v>
      </c>
      <c r="M41" s="18">
        <f>Test!C111</f>
        <v>37.884500000000003</v>
      </c>
      <c r="N41" s="18">
        <f>Test!D111</f>
        <v>44.5306</v>
      </c>
      <c r="O41" s="18">
        <f>Test!E111</f>
        <v>44.255299999999998</v>
      </c>
      <c r="P41" s="18">
        <f>Test!F111</f>
        <v>12225.749</v>
      </c>
      <c r="Q41" s="18">
        <f>Test!G111</f>
        <v>5.5990000000000002</v>
      </c>
      <c r="R41" s="19">
        <f t="shared" si="8"/>
        <v>3.396041388888889</v>
      </c>
      <c r="S41" s="17">
        <f t="shared" si="2"/>
        <v>0.8316186599849209</v>
      </c>
      <c r="T41" s="18">
        <f t="shared" si="2"/>
        <v>1.0288496876148474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246.05600000000001</v>
      </c>
      <c r="E42" s="23">
        <f>Reference!C112</f>
        <v>35.757199999999997</v>
      </c>
      <c r="F42" s="23">
        <f>Reference!D112</f>
        <v>43.270400000000002</v>
      </c>
      <c r="G42" s="23">
        <f>Reference!E112</f>
        <v>42.315600000000003</v>
      </c>
      <c r="H42" s="23">
        <f>Reference!F112</f>
        <v>8389.0499999999993</v>
      </c>
      <c r="I42" s="23">
        <f>Reference!G112</f>
        <v>4.9950000000000001</v>
      </c>
      <c r="J42" s="24">
        <f t="shared" si="7"/>
        <v>2.3302916666666667</v>
      </c>
      <c r="L42" s="22">
        <f>Test!B112</f>
        <v>243.83199999999999</v>
      </c>
      <c r="M42" s="23">
        <f>Test!C112</f>
        <v>35.7866</v>
      </c>
      <c r="N42" s="23">
        <f>Test!D112</f>
        <v>43.314599999999999</v>
      </c>
      <c r="O42" s="23">
        <f>Test!E112</f>
        <v>42.307899999999997</v>
      </c>
      <c r="P42" s="23">
        <f>Test!F112</f>
        <v>6056.2539999999999</v>
      </c>
      <c r="Q42" s="23">
        <f>Test!G112</f>
        <v>4.9770000000000003</v>
      </c>
      <c r="R42" s="24">
        <f t="shared" si="8"/>
        <v>1.6822927777777779</v>
      </c>
      <c r="S42" s="17">
        <f t="shared" si="2"/>
        <v>0.72192369815414148</v>
      </c>
      <c r="T42" s="18">
        <f t="shared" si="2"/>
        <v>0.99639639639639643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968.84400000000005</v>
      </c>
      <c r="E43" s="13">
        <f>Reference!C113</f>
        <v>43.463799999999999</v>
      </c>
      <c r="F43" s="13">
        <f>Reference!D113</f>
        <v>47.0764</v>
      </c>
      <c r="G43" s="13">
        <f>Reference!E113</f>
        <v>48.110700000000001</v>
      </c>
      <c r="H43" s="13">
        <f>Reference!F113</f>
        <v>20484.435000000001</v>
      </c>
      <c r="I43" s="13">
        <f>Reference!G113</f>
        <v>5.2359999999999998</v>
      </c>
      <c r="J43" s="14">
        <f t="shared" si="7"/>
        <v>5.6901208333333333</v>
      </c>
      <c r="L43" s="12">
        <f>Test!B113</f>
        <v>960.44399999999996</v>
      </c>
      <c r="M43" s="13">
        <f>Test!C113</f>
        <v>43.460500000000003</v>
      </c>
      <c r="N43" s="13">
        <f>Test!D113</f>
        <v>47.098799999999997</v>
      </c>
      <c r="O43" s="13">
        <f>Test!E113</f>
        <v>48.137599999999999</v>
      </c>
      <c r="P43" s="13">
        <f>Test!F113</f>
        <v>18817.055</v>
      </c>
      <c r="Q43" s="13">
        <f>Test!G113</f>
        <v>5.2880000000000003</v>
      </c>
      <c r="R43" s="14">
        <f t="shared" si="8"/>
        <v>5.2269597222222224</v>
      </c>
      <c r="S43" s="17">
        <f t="shared" si="2"/>
        <v>0.9186025877696895</v>
      </c>
      <c r="T43" s="18">
        <f t="shared" si="2"/>
        <v>1.009931245225363</v>
      </c>
      <c r="U43" s="91"/>
      <c r="V43" s="37">
        <f>bdrate($D43:$D46,E43:E46,$L43:$L46,M43:M46)</f>
        <v>-1.1086822438056365E-2</v>
      </c>
      <c r="W43" s="42">
        <f>bdrate($D43:$D46,F43:F46,$L43:$L46,N43:N46)</f>
        <v>-3.2936773251012741E-2</v>
      </c>
      <c r="X43" s="42">
        <f>bdrate($D43:$D46,G43:G46,$L43:$L46,O43:O46)</f>
        <v>-2.0768254569692113E-2</v>
      </c>
      <c r="Y43" s="40">
        <f>bdrateOld($D43:$D46,E43:E46,$L43:$L46,M43:M46)</f>
        <v>-1.0681515825541998E-2</v>
      </c>
      <c r="Z43" s="44">
        <f>bdrateOld($D43:$D46,F43:F46,$L43:$L46,N43:N46)</f>
        <v>-2.9486246495431745E-2</v>
      </c>
      <c r="AA43" s="45">
        <f>bdrateOld($D43:$D46,G43:G46,$L43:$L46,O43:O46)</f>
        <v>-1.9866158587938165E-2</v>
      </c>
    </row>
    <row r="44" spans="1:27" x14ac:dyDescent="0.2">
      <c r="A44" s="16"/>
      <c r="B44" s="85"/>
      <c r="C44" s="16">
        <v>32</v>
      </c>
      <c r="D44" s="17">
        <f>Reference!B114</f>
        <v>527.29600000000005</v>
      </c>
      <c r="E44" s="18">
        <f>Reference!C114</f>
        <v>42.16</v>
      </c>
      <c r="F44" s="18">
        <f>Reference!D114</f>
        <v>46.240499999999997</v>
      </c>
      <c r="G44" s="18">
        <f>Reference!E114</f>
        <v>47.037199999999999</v>
      </c>
      <c r="H44" s="18">
        <f>Reference!F114</f>
        <v>12432.995999999999</v>
      </c>
      <c r="I44" s="18">
        <f>Reference!G114</f>
        <v>4.968</v>
      </c>
      <c r="J44" s="19">
        <f t="shared" si="7"/>
        <v>3.4536099999999998</v>
      </c>
      <c r="L44" s="17">
        <f>Test!B114</f>
        <v>522.85599999999999</v>
      </c>
      <c r="M44" s="18">
        <f>Test!C114</f>
        <v>42.170900000000003</v>
      </c>
      <c r="N44" s="18">
        <f>Test!D114</f>
        <v>46.301900000000003</v>
      </c>
      <c r="O44" s="18">
        <f>Test!E114</f>
        <v>47.063000000000002</v>
      </c>
      <c r="P44" s="18">
        <f>Test!F114</f>
        <v>10597.912</v>
      </c>
      <c r="Q44" s="18">
        <f>Test!G114</f>
        <v>4.9249999999999998</v>
      </c>
      <c r="R44" s="19">
        <f t="shared" si="8"/>
        <v>2.9438644444444444</v>
      </c>
      <c r="S44" s="17">
        <f t="shared" si="2"/>
        <v>0.85240210806791872</v>
      </c>
      <c r="T44" s="18">
        <f t="shared" si="2"/>
        <v>0.99134460547504022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301.28800000000001</v>
      </c>
      <c r="E45" s="18">
        <f>Reference!C115</f>
        <v>40.3705</v>
      </c>
      <c r="F45" s="18">
        <f>Reference!D115</f>
        <v>45.180599999999998</v>
      </c>
      <c r="G45" s="18">
        <f>Reference!E115</f>
        <v>45.694499999999998</v>
      </c>
      <c r="H45" s="18">
        <f>Reference!F115</f>
        <v>7825.9840000000004</v>
      </c>
      <c r="I45" s="18">
        <f>Reference!G115</f>
        <v>4.8289999999999997</v>
      </c>
      <c r="J45" s="19">
        <f t="shared" si="7"/>
        <v>2.1738844444444445</v>
      </c>
      <c r="L45" s="17">
        <f>Test!B115</f>
        <v>298.94</v>
      </c>
      <c r="M45" s="18">
        <f>Test!C115</f>
        <v>40.383499999999998</v>
      </c>
      <c r="N45" s="18">
        <f>Test!D115</f>
        <v>45.235399999999998</v>
      </c>
      <c r="O45" s="18">
        <f>Test!E115</f>
        <v>45.698099999999997</v>
      </c>
      <c r="P45" s="18">
        <f>Test!F115</f>
        <v>5958.3180000000002</v>
      </c>
      <c r="Q45" s="18">
        <f>Test!G115</f>
        <v>4.7460000000000004</v>
      </c>
      <c r="R45" s="19">
        <f t="shared" si="8"/>
        <v>1.6550883333333335</v>
      </c>
      <c r="S45" s="17">
        <f t="shared" si="2"/>
        <v>0.76135064932409779</v>
      </c>
      <c r="T45" s="18">
        <f t="shared" si="2"/>
        <v>0.9828121764340445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167.68</v>
      </c>
      <c r="E46" s="23">
        <f>Reference!C116</f>
        <v>37.780099999999997</v>
      </c>
      <c r="F46" s="23">
        <f>Reference!D116</f>
        <v>43.293100000000003</v>
      </c>
      <c r="G46" s="23">
        <f>Reference!E116</f>
        <v>43.632399999999997</v>
      </c>
      <c r="H46" s="23">
        <f>Reference!F116</f>
        <v>5287.942</v>
      </c>
      <c r="I46" s="23">
        <f>Reference!G116</f>
        <v>4.7489999999999997</v>
      </c>
      <c r="J46" s="24">
        <f t="shared" si="7"/>
        <v>1.4688727777777777</v>
      </c>
      <c r="L46" s="22">
        <f>Test!B116</f>
        <v>166.428</v>
      </c>
      <c r="M46" s="23">
        <f>Test!C116</f>
        <v>37.795200000000001</v>
      </c>
      <c r="N46" s="23">
        <f>Test!D116</f>
        <v>43.372300000000003</v>
      </c>
      <c r="O46" s="23">
        <f>Test!E116</f>
        <v>43.820900000000002</v>
      </c>
      <c r="P46" s="23">
        <f>Test!F116</f>
        <v>3441.32</v>
      </c>
      <c r="Q46" s="23">
        <f>Test!G116</f>
        <v>4.8570000000000002</v>
      </c>
      <c r="R46" s="24">
        <f t="shared" si="8"/>
        <v>0.95592222222222223</v>
      </c>
      <c r="S46" s="17">
        <f t="shared" si="2"/>
        <v>0.65078626051496025</v>
      </c>
      <c r="T46" s="18">
        <f t="shared" si="2"/>
        <v>1.0227416298168037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1375.2639999999999</v>
      </c>
      <c r="E47" s="13">
        <f>Reference!C117</f>
        <v>42.820300000000003</v>
      </c>
      <c r="F47" s="13">
        <f>Reference!D117</f>
        <v>48.660400000000003</v>
      </c>
      <c r="G47" s="13">
        <f>Reference!E117</f>
        <v>48.390999999999998</v>
      </c>
      <c r="H47" s="13">
        <f>Reference!F117</f>
        <v>22832.786</v>
      </c>
      <c r="I47" s="13">
        <f>Reference!G117</f>
        <v>5.3579999999999997</v>
      </c>
      <c r="J47" s="14">
        <f>H47/3600</f>
        <v>6.3424405555555552</v>
      </c>
      <c r="L47" s="12">
        <f>Test!B117</f>
        <v>1362.1</v>
      </c>
      <c r="M47" s="13">
        <f>Test!C117</f>
        <v>42.826799999999999</v>
      </c>
      <c r="N47" s="13">
        <f>Test!D117</f>
        <v>48.663699999999999</v>
      </c>
      <c r="O47" s="13">
        <f>Test!E117</f>
        <v>48.420299999999997</v>
      </c>
      <c r="P47" s="13">
        <f>Test!F117</f>
        <v>21603.145</v>
      </c>
      <c r="Q47" s="13">
        <f>Test!G117</f>
        <v>5.27</v>
      </c>
      <c r="R47" s="14">
        <f>P47/3600</f>
        <v>6.0008736111111114</v>
      </c>
      <c r="S47" s="17">
        <f t="shared" ref="S47:T62" si="9">P47/H47</f>
        <v>0.94614581856108149</v>
      </c>
      <c r="T47" s="18">
        <f t="shared" si="9"/>
        <v>0.9835759611795446</v>
      </c>
      <c r="U47" s="91"/>
      <c r="V47" s="72">
        <f>bdrate($D47:$D50,E47:E50,$L47:$L50,M47:M50)</f>
        <v>-1.4035060602621274E-2</v>
      </c>
      <c r="W47" s="73">
        <f>bdrate($D47:$D50,F47:F50,$L47:$L50,N47:N50)</f>
        <v>-3.1537416686742703E-2</v>
      </c>
      <c r="X47" s="74">
        <f>bdrate($D47:$D50,G47:G50,$L47:$L50,O47:O50)</f>
        <v>-1.6548138963562109E-2</v>
      </c>
      <c r="Y47" s="37">
        <f>bdrateOld($D47:$D50,E47:E50,$L47:$L50,M47:M50)</f>
        <v>-1.4334654710299599E-2</v>
      </c>
      <c r="Z47" s="42">
        <f>bdrateOld($D47:$D50,F47:F50,$L47:$L50,N47:N50)</f>
        <v>-3.3394403316650778E-2</v>
      </c>
      <c r="AA47" s="43">
        <f>bdrateOld($D47:$D50,G47:G50,$L47:$L50,O47:O50)</f>
        <v>-1.5802571897395423E-2</v>
      </c>
    </row>
    <row r="48" spans="1:27" x14ac:dyDescent="0.2">
      <c r="A48" s="16"/>
      <c r="B48" s="85"/>
      <c r="C48" s="16">
        <v>32</v>
      </c>
      <c r="D48" s="17">
        <f>Reference!B118</f>
        <v>743.24800000000005</v>
      </c>
      <c r="E48" s="18">
        <f>Reference!C118</f>
        <v>41.526499999999999</v>
      </c>
      <c r="F48" s="18">
        <f>Reference!D118</f>
        <v>47.759</v>
      </c>
      <c r="G48" s="18">
        <f>Reference!E118</f>
        <v>47.27</v>
      </c>
      <c r="H48" s="18">
        <f>Reference!F118</f>
        <v>13904.482</v>
      </c>
      <c r="I48" s="18">
        <f>Reference!G118</f>
        <v>4.8600000000000003</v>
      </c>
      <c r="J48" s="19">
        <f t="shared" ref="J48:J70" si="10">H48/3600</f>
        <v>3.8623561111111111</v>
      </c>
      <c r="L48" s="17">
        <f>Test!B118</f>
        <v>735.25199999999995</v>
      </c>
      <c r="M48" s="18">
        <f>Test!C118</f>
        <v>41.530200000000001</v>
      </c>
      <c r="N48" s="18">
        <f>Test!D118</f>
        <v>47.787999999999997</v>
      </c>
      <c r="O48" s="18">
        <f>Test!E118</f>
        <v>47.299700000000001</v>
      </c>
      <c r="P48" s="18">
        <f>Test!F118</f>
        <v>12577.502</v>
      </c>
      <c r="Q48" s="18">
        <f>Test!G118</f>
        <v>4.96</v>
      </c>
      <c r="R48" s="19">
        <f t="shared" ref="R48:R70" si="11">P48/3600</f>
        <v>3.4937505555555557</v>
      </c>
      <c r="S48" s="17">
        <f t="shared" si="9"/>
        <v>0.90456458572135234</v>
      </c>
      <c r="T48" s="18">
        <f t="shared" si="9"/>
        <v>1.0205761316872428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417.16399999999999</v>
      </c>
      <c r="E49" s="18">
        <f>Reference!C119</f>
        <v>39.627299999999998</v>
      </c>
      <c r="F49" s="18">
        <f>Reference!D119</f>
        <v>46.642899999999997</v>
      </c>
      <c r="G49" s="18">
        <f>Reference!E119</f>
        <v>45.664299999999997</v>
      </c>
      <c r="H49" s="18">
        <f>Reference!F119</f>
        <v>9008.7800000000007</v>
      </c>
      <c r="I49" s="18">
        <f>Reference!G119</f>
        <v>4.7569999999999997</v>
      </c>
      <c r="J49" s="19">
        <f t="shared" si="10"/>
        <v>2.5024388888888889</v>
      </c>
      <c r="L49" s="17">
        <f>Test!B119</f>
        <v>413.27600000000001</v>
      </c>
      <c r="M49" s="18">
        <f>Test!C119</f>
        <v>39.651000000000003</v>
      </c>
      <c r="N49" s="18">
        <f>Test!D119</f>
        <v>46.735300000000002</v>
      </c>
      <c r="O49" s="18">
        <f>Test!E119</f>
        <v>45.680700000000002</v>
      </c>
      <c r="P49" s="18">
        <f>Test!F119</f>
        <v>7348.7709999999997</v>
      </c>
      <c r="Q49" s="18">
        <f>Test!G119</f>
        <v>4.8259999999999996</v>
      </c>
      <c r="R49" s="19">
        <f t="shared" si="11"/>
        <v>2.0413252777777777</v>
      </c>
      <c r="S49" s="17">
        <f t="shared" si="9"/>
        <v>0.81573431696633725</v>
      </c>
      <c r="T49" s="18">
        <f t="shared" si="9"/>
        <v>1.0145049400882908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227.18799999999999</v>
      </c>
      <c r="E50" s="23">
        <f>Reference!C120</f>
        <v>36.866100000000003</v>
      </c>
      <c r="F50" s="23">
        <f>Reference!D120</f>
        <v>45.136699999999998</v>
      </c>
      <c r="G50" s="23">
        <f>Reference!E120</f>
        <v>43.150599999999997</v>
      </c>
      <c r="H50" s="23">
        <f>Reference!F120</f>
        <v>6047.9589999999998</v>
      </c>
      <c r="I50" s="23">
        <f>Reference!G120</f>
        <v>4.7050000000000001</v>
      </c>
      <c r="J50" s="24">
        <f t="shared" si="10"/>
        <v>1.6799886111111111</v>
      </c>
      <c r="L50" s="22">
        <f>Test!B120</f>
        <v>225.11199999999999</v>
      </c>
      <c r="M50" s="23">
        <f>Test!C120</f>
        <v>36.888300000000001</v>
      </c>
      <c r="N50" s="23">
        <f>Test!D120</f>
        <v>45.084400000000002</v>
      </c>
      <c r="O50" s="23">
        <f>Test!E120</f>
        <v>43.148099999999999</v>
      </c>
      <c r="P50" s="23">
        <f>Test!F120</f>
        <v>4201.9319999999998</v>
      </c>
      <c r="Q50" s="23">
        <f>Test!G120</f>
        <v>4.6280000000000001</v>
      </c>
      <c r="R50" s="24">
        <f t="shared" si="11"/>
        <v>1.1672033333333334</v>
      </c>
      <c r="S50" s="22">
        <f t="shared" si="9"/>
        <v>0.69476859879506458</v>
      </c>
      <c r="T50" s="23">
        <f t="shared" si="9"/>
        <v>0.98363443145589802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25713.504000000001</v>
      </c>
      <c r="E59" s="13">
        <f>Reference!C129</f>
        <v>40.224800000000002</v>
      </c>
      <c r="F59" s="13">
        <f>Reference!D129</f>
        <v>40.683799999999998</v>
      </c>
      <c r="G59" s="13">
        <f>Reference!E129</f>
        <v>40.753100000000003</v>
      </c>
      <c r="H59" s="13">
        <f>Reference!F129</f>
        <v>261620.674</v>
      </c>
      <c r="I59" s="13">
        <f>Reference!G129</f>
        <v>21.47</v>
      </c>
      <c r="J59" s="14">
        <f t="shared" si="10"/>
        <v>72.67240944444444</v>
      </c>
      <c r="L59" s="12">
        <f>Test!B129</f>
        <v>22994.952000000001</v>
      </c>
      <c r="M59" s="13">
        <f>Test!C129</f>
        <v>41.877600000000001</v>
      </c>
      <c r="N59" s="13">
        <f>Test!D129</f>
        <v>41.1053</v>
      </c>
      <c r="O59" s="13">
        <f>Test!E129</f>
        <v>41.165100000000002</v>
      </c>
      <c r="P59" s="13">
        <f>Test!F129</f>
        <v>254502.861</v>
      </c>
      <c r="Q59" s="13">
        <f>Test!G129</f>
        <v>20.852</v>
      </c>
      <c r="R59" s="14">
        <f t="shared" si="11"/>
        <v>70.695239166666667</v>
      </c>
      <c r="S59" s="12">
        <f t="shared" si="9"/>
        <v>0.97279338482248545</v>
      </c>
      <c r="T59" s="13">
        <f t="shared" si="9"/>
        <v>0.97121564974382868</v>
      </c>
      <c r="U59" s="90"/>
      <c r="V59" s="37">
        <f>bdrate($D59:$D62,E59:E62,$L59:$L62,M59:M62)</f>
        <v>-0.20200523513941815</v>
      </c>
      <c r="W59" s="42">
        <f>bdrate($D59:$D62,F59:F62,$L59:$L62,N59:N62)</f>
        <v>-0.15584280439392528</v>
      </c>
      <c r="X59" s="42">
        <f>bdrate($D59:$D62,G59:G62,$L59:$L62,O59:O62)</f>
        <v>-0.15764292836296634</v>
      </c>
      <c r="Y59" s="40">
        <f>bdrateOld($D59:$D62,E59:E62,$L59:$L62,M59:M62)</f>
        <v>-0.20249066233416102</v>
      </c>
      <c r="Z59" s="44">
        <f>bdrateOld($D59:$D62,F59:F62,$L59:$L62,N59:N62)</f>
        <v>-0.15586469519400581</v>
      </c>
      <c r="AA59" s="45">
        <f>bdrateOld($D59:$D62,G59:G62,$L59:$L62,O59:O62)</f>
        <v>-0.15777206869533922</v>
      </c>
    </row>
    <row r="60" spans="1:27" x14ac:dyDescent="0.2">
      <c r="A60" s="16"/>
      <c r="B60" s="85"/>
      <c r="C60" s="16">
        <v>32</v>
      </c>
      <c r="D60" s="17">
        <f>Reference!B130</f>
        <v>15820.484</v>
      </c>
      <c r="E60" s="18">
        <f>Reference!C130</f>
        <v>37.425199999999997</v>
      </c>
      <c r="F60" s="18">
        <f>Reference!D130</f>
        <v>38.1708</v>
      </c>
      <c r="G60" s="18">
        <f>Reference!E130</f>
        <v>38.245699999999999</v>
      </c>
      <c r="H60" s="18">
        <f>Reference!F130</f>
        <v>208960.111</v>
      </c>
      <c r="I60" s="18">
        <f>Reference!G130</f>
        <v>19.2</v>
      </c>
      <c r="J60" s="19">
        <f t="shared" si="10"/>
        <v>58.044475277777778</v>
      </c>
      <c r="L60" s="17">
        <f>Test!B130</f>
        <v>14371.34</v>
      </c>
      <c r="M60" s="18">
        <f>Test!C130</f>
        <v>38.543799999999997</v>
      </c>
      <c r="N60" s="18">
        <f>Test!D130</f>
        <v>38.586500000000001</v>
      </c>
      <c r="O60" s="18">
        <f>Test!E130</f>
        <v>38.6464</v>
      </c>
      <c r="P60" s="18">
        <f>Test!F130</f>
        <v>195245.35699999999</v>
      </c>
      <c r="Q60" s="18">
        <f>Test!G130</f>
        <v>18.423999999999999</v>
      </c>
      <c r="R60" s="19">
        <f t="shared" si="11"/>
        <v>54.234821388888889</v>
      </c>
      <c r="S60" s="17">
        <f t="shared" si="9"/>
        <v>0.93436664091358557</v>
      </c>
      <c r="T60" s="18">
        <f t="shared" si="9"/>
        <v>0.95958333333333334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9113.0519999999997</v>
      </c>
      <c r="E61" s="18">
        <f>Reference!C131</f>
        <v>34.054099999999998</v>
      </c>
      <c r="F61" s="18">
        <f>Reference!D131</f>
        <v>35.987699999999997</v>
      </c>
      <c r="G61" s="18">
        <f>Reference!E131</f>
        <v>36.145000000000003</v>
      </c>
      <c r="H61" s="18">
        <f>Reference!F131</f>
        <v>156478.71900000001</v>
      </c>
      <c r="I61" s="18">
        <f>Reference!G131</f>
        <v>18.021999999999998</v>
      </c>
      <c r="J61" s="19">
        <f t="shared" si="10"/>
        <v>43.466310833333338</v>
      </c>
      <c r="L61" s="17">
        <f>Test!B131</f>
        <v>8485.7039999999997</v>
      </c>
      <c r="M61" s="18">
        <f>Test!C131</f>
        <v>34.904200000000003</v>
      </c>
      <c r="N61" s="18">
        <f>Test!D131</f>
        <v>36.337899999999998</v>
      </c>
      <c r="O61" s="18">
        <f>Test!E131</f>
        <v>36.494399999999999</v>
      </c>
      <c r="P61" s="18">
        <f>Test!F131</f>
        <v>138867.97899999999</v>
      </c>
      <c r="Q61" s="18">
        <f>Test!G131</f>
        <v>16.989999999999998</v>
      </c>
      <c r="R61" s="19">
        <f t="shared" si="11"/>
        <v>38.574438611111106</v>
      </c>
      <c r="S61" s="17">
        <f t="shared" si="9"/>
        <v>0.88745600607837272</v>
      </c>
      <c r="T61" s="18">
        <f t="shared" si="9"/>
        <v>0.94273665519920102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4819.6959999999999</v>
      </c>
      <c r="E62" s="23">
        <f>Reference!C132</f>
        <v>30.295100000000001</v>
      </c>
      <c r="F62" s="23">
        <f>Reference!D132</f>
        <v>33.898699999999998</v>
      </c>
      <c r="G62" s="23">
        <f>Reference!E132</f>
        <v>34.097099999999998</v>
      </c>
      <c r="H62" s="23">
        <f>Reference!F132</f>
        <v>106774.42200000001</v>
      </c>
      <c r="I62" s="23">
        <f>Reference!G132</f>
        <v>15.986000000000001</v>
      </c>
      <c r="J62" s="24">
        <f t="shared" si="10"/>
        <v>29.659561666666669</v>
      </c>
      <c r="L62" s="22">
        <f>Test!B132</f>
        <v>4659.768</v>
      </c>
      <c r="M62" s="23">
        <f>Test!C132</f>
        <v>30.858000000000001</v>
      </c>
      <c r="N62" s="23">
        <f>Test!D132</f>
        <v>34.133099999999999</v>
      </c>
      <c r="O62" s="23">
        <f>Test!E132</f>
        <v>34.3688</v>
      </c>
      <c r="P62" s="23">
        <f>Test!F132</f>
        <v>88986.096000000005</v>
      </c>
      <c r="Q62" s="23">
        <f>Test!G132</f>
        <v>15.116</v>
      </c>
      <c r="R62" s="24">
        <f t="shared" si="11"/>
        <v>24.718360000000001</v>
      </c>
      <c r="S62" s="17">
        <f t="shared" si="9"/>
        <v>0.83340274134192927</v>
      </c>
      <c r="T62" s="18">
        <f t="shared" si="9"/>
        <v>0.94557738020768167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3908.192</v>
      </c>
      <c r="E63" s="13">
        <f>Reference!C133</f>
        <v>46.221200000000003</v>
      </c>
      <c r="F63" s="13">
        <f>Reference!D133</f>
        <v>45.826700000000002</v>
      </c>
      <c r="G63" s="13">
        <f>Reference!E133</f>
        <v>45.762300000000003</v>
      </c>
      <c r="H63" s="13">
        <f>Reference!F133</f>
        <v>44410.430999999997</v>
      </c>
      <c r="I63" s="13">
        <f>Reference!G133</f>
        <v>7.6280000000000001</v>
      </c>
      <c r="J63" s="14">
        <f t="shared" si="10"/>
        <v>12.336230833333332</v>
      </c>
      <c r="L63" s="12">
        <f>Test!B133</f>
        <v>2361.672</v>
      </c>
      <c r="M63" s="13">
        <f>Test!C133</f>
        <v>51.309699999999999</v>
      </c>
      <c r="N63" s="13">
        <f>Test!D133</f>
        <v>46.157800000000002</v>
      </c>
      <c r="O63" s="13">
        <f>Test!E133</f>
        <v>45.755400000000002</v>
      </c>
      <c r="P63" s="13">
        <f>Test!F133</f>
        <v>33304.46</v>
      </c>
      <c r="Q63" s="13">
        <f>Test!G133</f>
        <v>6.4470000000000001</v>
      </c>
      <c r="R63" s="14">
        <f t="shared" si="11"/>
        <v>9.2512388888888886</v>
      </c>
      <c r="S63" s="17">
        <f t="shared" ref="S63:S74" si="12">P63/H63</f>
        <v>0.7499242689178135</v>
      </c>
      <c r="T63" s="18">
        <f t="shared" ref="T63:T74" si="13">Q63/I63</f>
        <v>0.8451756685894074</v>
      </c>
      <c r="U63" s="91"/>
      <c r="V63" s="37">
        <f>bdrate($D63:$D66,E63:E66,$L63:$L66,M63:M66)</f>
        <v>-0.39865885281801849</v>
      </c>
      <c r="W63" s="42">
        <f>bdrate($D63:$D66,F63:F66,$L63:$L66,N63:N66)</f>
        <v>-0.29844063935404042</v>
      </c>
      <c r="X63" s="42">
        <f>bdrate($D63:$D66,G63:G66,$L63:$L66,O63:O66)</f>
        <v>-0.29363520930727904</v>
      </c>
      <c r="Y63" s="40">
        <f>bdrateOld($D63:$D66,E63:E66,$L63:$L66,M63:M66)</f>
        <v>-0.39812875155391103</v>
      </c>
      <c r="Z63" s="44">
        <f>bdrateOld($D63:$D66,F63:F66,$L63:$L66,N63:N66)</f>
        <v>-0.29851777771213861</v>
      </c>
      <c r="AA63" s="45">
        <f>bdrateOld($D63:$D66,G63:G66,$L63:$L66,O63:O66)</f>
        <v>-0.29352553371930901</v>
      </c>
    </row>
    <row r="64" spans="1:27" x14ac:dyDescent="0.2">
      <c r="A64" s="16"/>
      <c r="B64" s="85"/>
      <c r="C64" s="16">
        <v>32</v>
      </c>
      <c r="D64" s="17">
        <f>Reference!B134</f>
        <v>2912.2280000000001</v>
      </c>
      <c r="E64" s="18">
        <f>Reference!C134</f>
        <v>43.372700000000002</v>
      </c>
      <c r="F64" s="18">
        <f>Reference!D134</f>
        <v>42.3459</v>
      </c>
      <c r="G64" s="18">
        <f>Reference!E134</f>
        <v>42.389000000000003</v>
      </c>
      <c r="H64" s="18">
        <f>Reference!F134</f>
        <v>40159.836000000003</v>
      </c>
      <c r="I64" s="18">
        <f>Reference!G134</f>
        <v>7.4749999999999996</v>
      </c>
      <c r="J64" s="19">
        <f t="shared" si="10"/>
        <v>11.155510000000001</v>
      </c>
      <c r="L64" s="17">
        <f>Test!B134</f>
        <v>1995.7840000000001</v>
      </c>
      <c r="M64" s="18">
        <f>Test!C134</f>
        <v>47.580599999999997</v>
      </c>
      <c r="N64" s="18">
        <f>Test!D134</f>
        <v>42.7423</v>
      </c>
      <c r="O64" s="18">
        <f>Test!E134</f>
        <v>42.516599999999997</v>
      </c>
      <c r="P64" s="18">
        <f>Test!F134</f>
        <v>30331.772000000001</v>
      </c>
      <c r="Q64" s="18">
        <f>Test!G134</f>
        <v>6.3029999999999999</v>
      </c>
      <c r="R64" s="19">
        <f t="shared" si="11"/>
        <v>8.425492222222223</v>
      </c>
      <c r="S64" s="17">
        <f t="shared" si="12"/>
        <v>0.75527629146692732</v>
      </c>
      <c r="T64" s="18">
        <f t="shared" si="13"/>
        <v>0.84321070234113715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2152.6759999999999</v>
      </c>
      <c r="E65" s="18">
        <f>Reference!C135</f>
        <v>39.427799999999998</v>
      </c>
      <c r="F65" s="18">
        <f>Reference!D135</f>
        <v>39.383200000000002</v>
      </c>
      <c r="G65" s="18">
        <f>Reference!E135</f>
        <v>39.428400000000003</v>
      </c>
      <c r="H65" s="18">
        <f>Reference!F135</f>
        <v>34938.709000000003</v>
      </c>
      <c r="I65" s="18">
        <f>Reference!G135</f>
        <v>7.133</v>
      </c>
      <c r="J65" s="19">
        <f t="shared" si="10"/>
        <v>9.7051969444444453</v>
      </c>
      <c r="L65" s="17">
        <f>Test!B135</f>
        <v>1672.7239999999999</v>
      </c>
      <c r="M65" s="18">
        <f>Test!C135</f>
        <v>43.3232</v>
      </c>
      <c r="N65" s="18">
        <f>Test!D135</f>
        <v>39.741199999999999</v>
      </c>
      <c r="O65" s="18">
        <f>Test!E135</f>
        <v>39.769799999999996</v>
      </c>
      <c r="P65" s="18">
        <f>Test!F135</f>
        <v>26094.916000000001</v>
      </c>
      <c r="Q65" s="18">
        <f>Test!G135</f>
        <v>6.1970000000000001</v>
      </c>
      <c r="R65" s="19">
        <f t="shared" si="11"/>
        <v>7.2485877777777779</v>
      </c>
      <c r="S65" s="17">
        <f t="shared" si="12"/>
        <v>0.74687693812613398</v>
      </c>
      <c r="T65" s="18">
        <f t="shared" si="13"/>
        <v>0.86877891490256554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1497.54</v>
      </c>
      <c r="E66" s="23">
        <f>Reference!C136</f>
        <v>34.224200000000003</v>
      </c>
      <c r="F66" s="23">
        <f>Reference!D136</f>
        <v>36.4953</v>
      </c>
      <c r="G66" s="23">
        <f>Reference!E136</f>
        <v>36.636899999999997</v>
      </c>
      <c r="H66" s="23">
        <f>Reference!F136</f>
        <v>29461.447</v>
      </c>
      <c r="I66" s="23">
        <f>Reference!G136</f>
        <v>6.9489999999999998</v>
      </c>
      <c r="J66" s="24">
        <f t="shared" si="10"/>
        <v>8.1837352777777781</v>
      </c>
      <c r="L66" s="22">
        <f>Test!B136</f>
        <v>1315.5160000000001</v>
      </c>
      <c r="M66" s="23">
        <f>Test!C136</f>
        <v>37.515999999999998</v>
      </c>
      <c r="N66" s="23">
        <f>Test!D136</f>
        <v>36.8339</v>
      </c>
      <c r="O66" s="23">
        <f>Test!E136</f>
        <v>37.011899999999997</v>
      </c>
      <c r="P66" s="23">
        <f>Test!F136</f>
        <v>21559.579000000002</v>
      </c>
      <c r="Q66" s="23">
        <f>Test!G136</f>
        <v>6.1539999999999999</v>
      </c>
      <c r="R66" s="24">
        <f t="shared" si="11"/>
        <v>5.9887719444444452</v>
      </c>
      <c r="S66" s="17">
        <f t="shared" si="12"/>
        <v>0.7317895485581547</v>
      </c>
      <c r="T66" s="18">
        <f t="shared" si="13"/>
        <v>0.8855950496474313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9199.3520000000008</v>
      </c>
      <c r="E67" s="13">
        <f>Reference!C137</f>
        <v>41.379300000000001</v>
      </c>
      <c r="F67" s="13">
        <f>Reference!D137</f>
        <v>43.576999999999998</v>
      </c>
      <c r="G67" s="13">
        <f>Reference!E137</f>
        <v>44.043999999999997</v>
      </c>
      <c r="H67" s="13">
        <f>Reference!F137</f>
        <v>115563.014</v>
      </c>
      <c r="I67" s="13">
        <f>Reference!G137</f>
        <v>16.074000000000002</v>
      </c>
      <c r="J67" s="14">
        <f t="shared" si="10"/>
        <v>32.100837222222218</v>
      </c>
      <c r="L67" s="12">
        <f>Test!B137</f>
        <v>9018.0759999999991</v>
      </c>
      <c r="M67" s="13">
        <f>Test!C137</f>
        <v>41.404899999999998</v>
      </c>
      <c r="N67" s="13">
        <f>Test!D137</f>
        <v>43.662599999999998</v>
      </c>
      <c r="O67" s="13">
        <f>Test!E137</f>
        <v>44.04</v>
      </c>
      <c r="P67" s="13">
        <f>Test!F137</f>
        <v>106647.59</v>
      </c>
      <c r="Q67" s="13">
        <f>Test!G137</f>
        <v>15.352</v>
      </c>
      <c r="R67" s="14">
        <f t="shared" si="11"/>
        <v>29.624330555555556</v>
      </c>
      <c r="S67" s="17">
        <f t="shared" si="12"/>
        <v>0.92285227174846796</v>
      </c>
      <c r="T67" s="18">
        <f t="shared" si="13"/>
        <v>0.95508274231678481</v>
      </c>
      <c r="U67" s="91"/>
      <c r="V67" s="37">
        <f>bdrate($D67:$D70,E67:E70,$L67:$L70,M67:M70)</f>
        <v>-2.3900992198474302E-2</v>
      </c>
      <c r="W67" s="42">
        <f>bdrate($D67:$D70,F67:F70,$L67:$L70,N67:N70)</f>
        <v>-5.4315065427198106E-2</v>
      </c>
      <c r="X67" s="42">
        <f>bdrate($D67:$D70,G67:G70,$L67:$L70,O67:O70)</f>
        <v>-2.130518256051861E-2</v>
      </c>
      <c r="Y67" s="40">
        <f>bdrateOld($D67:$D70,E67:E70,$L67:$L70,M67:M70)</f>
        <v>-2.3917331299688649E-2</v>
      </c>
      <c r="Z67" s="44">
        <f>bdrateOld($D67:$D70,F67:F70,$L67:$L70,N67:N70)</f>
        <v>-5.4218895463390426E-2</v>
      </c>
      <c r="AA67" s="45">
        <f>bdrateOld($D67:$D70,G67:G70,$L67:$L70,O67:O70)</f>
        <v>-2.16773368234916E-2</v>
      </c>
    </row>
    <row r="68" spans="1:27" x14ac:dyDescent="0.2">
      <c r="A68" s="16"/>
      <c r="B68" s="85"/>
      <c r="C68" s="16">
        <v>32</v>
      </c>
      <c r="D68" s="17">
        <f>Reference!B138</f>
        <v>4951.32</v>
      </c>
      <c r="E68" s="18">
        <f>Reference!C138</f>
        <v>39.086100000000002</v>
      </c>
      <c r="F68" s="18">
        <f>Reference!D138</f>
        <v>41.796199999999999</v>
      </c>
      <c r="G68" s="18">
        <f>Reference!E138</f>
        <v>42.137500000000003</v>
      </c>
      <c r="H68" s="18">
        <f>Reference!F138</f>
        <v>79060.182000000001</v>
      </c>
      <c r="I68" s="18">
        <f>Reference!G138</f>
        <v>14.016</v>
      </c>
      <c r="J68" s="19">
        <f t="shared" si="10"/>
        <v>21.961161666666666</v>
      </c>
      <c r="L68" s="17">
        <f>Test!B138</f>
        <v>4852.3119999999999</v>
      </c>
      <c r="M68" s="18">
        <f>Test!C138</f>
        <v>39.112499999999997</v>
      </c>
      <c r="N68" s="18">
        <f>Test!D138</f>
        <v>41.9193</v>
      </c>
      <c r="O68" s="18">
        <f>Test!E138</f>
        <v>42.133099999999999</v>
      </c>
      <c r="P68" s="18">
        <f>Test!F138</f>
        <v>69023.326000000001</v>
      </c>
      <c r="Q68" s="18">
        <f>Test!G138</f>
        <v>13.596</v>
      </c>
      <c r="R68" s="19">
        <f t="shared" si="11"/>
        <v>19.173146111111112</v>
      </c>
      <c r="S68" s="17">
        <f t="shared" si="12"/>
        <v>0.87304790166053503</v>
      </c>
      <c r="T68" s="18">
        <f t="shared" si="13"/>
        <v>0.97003424657534243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2457.2600000000002</v>
      </c>
      <c r="E69" s="18">
        <f>Reference!C139</f>
        <v>36.537100000000002</v>
      </c>
      <c r="F69" s="18">
        <f>Reference!D139</f>
        <v>39.892000000000003</v>
      </c>
      <c r="G69" s="18">
        <f>Reference!E139</f>
        <v>40.063400000000001</v>
      </c>
      <c r="H69" s="18">
        <f>Reference!F139</f>
        <v>50756.163</v>
      </c>
      <c r="I69" s="18">
        <f>Reference!G139</f>
        <v>12.548</v>
      </c>
      <c r="J69" s="19">
        <f t="shared" si="10"/>
        <v>14.098934166666666</v>
      </c>
      <c r="L69" s="17">
        <f>Test!B139</f>
        <v>2417.8560000000002</v>
      </c>
      <c r="M69" s="18">
        <f>Test!C139</f>
        <v>36.566699999999997</v>
      </c>
      <c r="N69" s="18">
        <f>Test!D139</f>
        <v>40.004300000000001</v>
      </c>
      <c r="O69" s="18">
        <f>Test!E139</f>
        <v>40.099499999999999</v>
      </c>
      <c r="P69" s="18">
        <f>Test!F139</f>
        <v>41057.730000000003</v>
      </c>
      <c r="Q69" s="18">
        <f>Test!G139</f>
        <v>12.156000000000001</v>
      </c>
      <c r="R69" s="19">
        <f t="shared" si="11"/>
        <v>11.404925</v>
      </c>
      <c r="S69" s="17">
        <f t="shared" si="12"/>
        <v>0.80892107624447507</v>
      </c>
      <c r="T69" s="18">
        <f t="shared" si="13"/>
        <v>0.96875996174689194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1142.056</v>
      </c>
      <c r="E70" s="23">
        <f>Reference!C140</f>
        <v>33.718299999999999</v>
      </c>
      <c r="F70" s="23">
        <f>Reference!D140</f>
        <v>37.679000000000002</v>
      </c>
      <c r="G70" s="23">
        <f>Reference!E140</f>
        <v>37.6995</v>
      </c>
      <c r="H70" s="23">
        <f>Reference!F140</f>
        <v>31045.687999999998</v>
      </c>
      <c r="I70" s="23">
        <f>Reference!G140</f>
        <v>11.503</v>
      </c>
      <c r="J70" s="24">
        <f t="shared" si="10"/>
        <v>8.6238022222222224</v>
      </c>
      <c r="L70" s="22">
        <f>Test!B140</f>
        <v>1134.7719999999999</v>
      </c>
      <c r="M70" s="23">
        <f>Test!C140</f>
        <v>33.747</v>
      </c>
      <c r="N70" s="23">
        <f>Test!D140</f>
        <v>37.774999999999999</v>
      </c>
      <c r="O70" s="23">
        <f>Test!E140</f>
        <v>37.715699999999998</v>
      </c>
      <c r="P70" s="23">
        <f>Test!F140</f>
        <v>23350.455999999998</v>
      </c>
      <c r="Q70" s="23">
        <f>Test!G140</f>
        <v>11.481999999999999</v>
      </c>
      <c r="R70" s="24">
        <f t="shared" si="11"/>
        <v>6.4862377777777773</v>
      </c>
      <c r="S70" s="17">
        <f t="shared" si="12"/>
        <v>0.75213201910680805</v>
      </c>
      <c r="T70" s="18">
        <f t="shared" si="13"/>
        <v>0.99817438928975044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1524.2</v>
      </c>
      <c r="E71" s="13">
        <f>Reference!C141</f>
        <v>48.084000000000003</v>
      </c>
      <c r="F71" s="13">
        <f>Reference!D141</f>
        <v>49.746600000000001</v>
      </c>
      <c r="G71" s="13">
        <f>Reference!E141</f>
        <v>50.17</v>
      </c>
      <c r="H71" s="13">
        <f>Reference!F141</f>
        <v>19571.257000000001</v>
      </c>
      <c r="I71" s="13">
        <f>Reference!G141</f>
        <v>8.1609999999999996</v>
      </c>
      <c r="J71" s="14">
        <f>H71/3600</f>
        <v>5.436460277777778</v>
      </c>
      <c r="L71" s="12">
        <f>Test!B141</f>
        <v>1079.3879999999999</v>
      </c>
      <c r="M71" s="13">
        <f>Test!C141</f>
        <v>49.9542</v>
      </c>
      <c r="N71" s="13">
        <f>Test!D141</f>
        <v>50.026200000000003</v>
      </c>
      <c r="O71" s="13">
        <f>Test!E141</f>
        <v>50.177900000000001</v>
      </c>
      <c r="P71" s="13">
        <f>Test!F141</f>
        <v>12538.958000000001</v>
      </c>
      <c r="Q71" s="13">
        <f>Test!G141</f>
        <v>8.5559999999999992</v>
      </c>
      <c r="R71" s="14">
        <f>P71/3600</f>
        <v>3.4830438888888891</v>
      </c>
      <c r="S71" s="17">
        <f t="shared" si="12"/>
        <v>0.64068230262368941</v>
      </c>
      <c r="T71" s="18">
        <f t="shared" si="13"/>
        <v>1.0484009312584242</v>
      </c>
      <c r="U71" s="91"/>
      <c r="V71" s="72">
        <f>bdrate($D71:$D74,E71:E74,$L71:$L74,M71:M74)</f>
        <v>-0.41387425041355075</v>
      </c>
      <c r="W71" s="73">
        <f>bdrate($D71:$D74,F71:F74,$L71:$L74,N71:N74)</f>
        <v>-0.27948716541778496</v>
      </c>
      <c r="X71" s="74">
        <f>bdrate($D71:$D74,G71:G74,$L71:$L74,O71:O74)</f>
        <v>-0.25596742581046239</v>
      </c>
      <c r="Y71" s="37">
        <f>bdrateOld($D71:$D74,E71:E74,$L71:$L74,M71:M74)</f>
        <v>-0.41253963133987404</v>
      </c>
      <c r="Z71" s="42">
        <f>bdrateOld($D71:$D74,F71:F74,$L71:$L74,N71:N74)</f>
        <v>-0.27951769555725259</v>
      </c>
      <c r="AA71" s="43">
        <f>bdrateOld($D71:$D74,G71:G74,$L71:$L74,O71:O74)</f>
        <v>-0.25599362755742883</v>
      </c>
    </row>
    <row r="72" spans="1:27" x14ac:dyDescent="0.2">
      <c r="A72" s="16"/>
      <c r="B72" s="85"/>
      <c r="C72" s="16">
        <v>32</v>
      </c>
      <c r="D72" s="17">
        <f>Reference!B142</f>
        <v>1101.136</v>
      </c>
      <c r="E72" s="18">
        <f>Reference!C142</f>
        <v>45.2042</v>
      </c>
      <c r="F72" s="18">
        <f>Reference!D142</f>
        <v>47.225000000000001</v>
      </c>
      <c r="G72" s="18">
        <f>Reference!E142</f>
        <v>47.502800000000001</v>
      </c>
      <c r="H72" s="18">
        <f>Reference!F142</f>
        <v>16161.004999999999</v>
      </c>
      <c r="I72" s="18">
        <f>Reference!G142</f>
        <v>8.1069999999999993</v>
      </c>
      <c r="J72" s="19">
        <f t="shared" ref="J72:J74" si="14">H72/3600</f>
        <v>4.4891680555555551</v>
      </c>
      <c r="L72" s="17">
        <f>Test!B142</f>
        <v>795.3</v>
      </c>
      <c r="M72" s="18">
        <f>Test!C142</f>
        <v>47.568600000000004</v>
      </c>
      <c r="N72" s="18">
        <f>Test!D142</f>
        <v>47.536799999999999</v>
      </c>
      <c r="O72" s="18">
        <f>Test!E142</f>
        <v>47.564999999999998</v>
      </c>
      <c r="P72" s="18">
        <f>Test!F142</f>
        <v>9641</v>
      </c>
      <c r="Q72" s="18">
        <f>Test!G142</f>
        <v>8.5850000000000009</v>
      </c>
      <c r="R72" s="19">
        <f t="shared" ref="R72:R74" si="15">P72/3600</f>
        <v>2.6780555555555554</v>
      </c>
      <c r="S72" s="17">
        <f t="shared" si="12"/>
        <v>0.59655943426785651</v>
      </c>
      <c r="T72" s="18">
        <f t="shared" si="13"/>
        <v>1.0589613913901568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768.952</v>
      </c>
      <c r="E73" s="18">
        <f>Reference!C143</f>
        <v>41.358400000000003</v>
      </c>
      <c r="F73" s="18">
        <f>Reference!D143</f>
        <v>44.807899999999997</v>
      </c>
      <c r="G73" s="18">
        <f>Reference!E143</f>
        <v>45.006599999999999</v>
      </c>
      <c r="H73" s="18">
        <f>Reference!F143</f>
        <v>13240.638999999999</v>
      </c>
      <c r="I73" s="18">
        <f>Reference!G143</f>
        <v>8.4969999999999999</v>
      </c>
      <c r="J73" s="19">
        <f t="shared" si="14"/>
        <v>3.6779552777777775</v>
      </c>
      <c r="L73" s="17">
        <f>Test!B143</f>
        <v>586.09199999999998</v>
      </c>
      <c r="M73" s="18">
        <f>Test!C143</f>
        <v>44.310200000000002</v>
      </c>
      <c r="N73" s="18">
        <f>Test!D143</f>
        <v>45.091099999999997</v>
      </c>
      <c r="O73" s="18">
        <f>Test!E143</f>
        <v>45.0274</v>
      </c>
      <c r="P73" s="18">
        <f>Test!F143</f>
        <v>7450.5619999999999</v>
      </c>
      <c r="Q73" s="18">
        <f>Test!G143</f>
        <v>8.7729999999999997</v>
      </c>
      <c r="R73" s="19">
        <f t="shared" si="15"/>
        <v>2.0696005555555557</v>
      </c>
      <c r="S73" s="17">
        <f t="shared" si="12"/>
        <v>0.56270411118375785</v>
      </c>
      <c r="T73" s="18">
        <f t="shared" si="13"/>
        <v>1.0324820524891138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512.44000000000005</v>
      </c>
      <c r="E74" s="23">
        <f>Reference!C144</f>
        <v>36.6126</v>
      </c>
      <c r="F74" s="23">
        <f>Reference!D144</f>
        <v>42.305700000000002</v>
      </c>
      <c r="G74" s="23">
        <f>Reference!E144</f>
        <v>42.4069</v>
      </c>
      <c r="H74" s="23">
        <f>Reference!F144</f>
        <v>11256.999</v>
      </c>
      <c r="I74" s="23">
        <f>Reference!G144</f>
        <v>8.798</v>
      </c>
      <c r="J74" s="24">
        <f t="shared" si="14"/>
        <v>3.1269441666666666</v>
      </c>
      <c r="L74" s="22">
        <f>Test!B144</f>
        <v>430.00799999999998</v>
      </c>
      <c r="M74" s="23">
        <f>Test!C144</f>
        <v>39.917299999999997</v>
      </c>
      <c r="N74" s="23">
        <f>Test!D144</f>
        <v>42.534500000000001</v>
      </c>
      <c r="O74" s="23">
        <f>Test!E144</f>
        <v>42.497</v>
      </c>
      <c r="P74" s="23">
        <f>Test!F144</f>
        <v>5893.299</v>
      </c>
      <c r="Q74" s="23">
        <f>Test!G144</f>
        <v>9.3849999999999998</v>
      </c>
      <c r="R74" s="24">
        <f t="shared" si="15"/>
        <v>1.6370275000000001</v>
      </c>
      <c r="S74" s="22">
        <f t="shared" si="12"/>
        <v>0.52352309882944825</v>
      </c>
      <c r="T74" s="23">
        <f t="shared" si="13"/>
        <v>1.0667197090247784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54.3761137424708</v>
      </c>
      <c r="J75" s="15">
        <f>GEOMEAN(J3:J18)</f>
        <v>64.840448210273195</v>
      </c>
      <c r="Q75" s="15">
        <f>GEOMEAN(Q3:Q18)</f>
        <v>55.307705077135495</v>
      </c>
      <c r="R75" s="15">
        <f>GEOMEAN(R3:R18)</f>
        <v>55.791022587560406</v>
      </c>
      <c r="S75" s="15">
        <f>GEOMEAN(S3:S18)</f>
        <v>0.86043548629759448</v>
      </c>
      <c r="T75" s="15">
        <f>GEOMEAN(T3:T18)</f>
        <v>1.0171323632850406</v>
      </c>
      <c r="V75" s="37">
        <f>AVERAGE(V3:V18)</f>
        <v>-8.6834618337573999E-3</v>
      </c>
      <c r="W75" s="42">
        <f t="shared" ref="W75:AA75" si="16">AVERAGE(W3:W18)</f>
        <v>-2.4406143536411545E-2</v>
      </c>
      <c r="X75" s="42">
        <f t="shared" si="16"/>
        <v>-6.1887163080326935E-3</v>
      </c>
      <c r="Y75" s="37">
        <f>AVERAGE(Y3:Y18)</f>
        <v>-8.2596364342534256E-3</v>
      </c>
      <c r="Z75" s="42">
        <f t="shared" si="16"/>
        <v>-2.3750370110712238E-2</v>
      </c>
      <c r="AA75" s="43">
        <f t="shared" si="16"/>
        <v>-6.3696347915307427E-3</v>
      </c>
    </row>
    <row r="76" spans="1:27" x14ac:dyDescent="0.2">
      <c r="B76" s="89" t="s">
        <v>47</v>
      </c>
      <c r="I76" s="15">
        <f>GEOMEAN(I19:I34)</f>
        <v>13.892292260918474</v>
      </c>
      <c r="J76" s="15">
        <f>GEOMEAN(J19:J34)</f>
        <v>16.06640834219877</v>
      </c>
      <c r="Q76" s="15">
        <f>GEOMEAN(Q19:Q34)</f>
        <v>14.143781732508867</v>
      </c>
      <c r="R76" s="15">
        <f>GEOMEAN(R19:R34)</f>
        <v>13.865710875824934</v>
      </c>
      <c r="S76" s="15">
        <f>GEOMEAN(S19:S34)</f>
        <v>0.86302492632446948</v>
      </c>
      <c r="T76" s="15">
        <f>GEOMEAN(T19:T34)</f>
        <v>1.018102805992491</v>
      </c>
      <c r="V76" s="40">
        <f>AVERAGE(V19:V34)</f>
        <v>-9.2462311611460068E-3</v>
      </c>
      <c r="W76" s="44">
        <f t="shared" ref="W76:AA76" si="17">AVERAGE(W19:W34)</f>
        <v>-2.2817039312619997E-2</v>
      </c>
      <c r="X76" s="44">
        <f t="shared" si="17"/>
        <v>-1.3322753444017899E-2</v>
      </c>
      <c r="Y76" s="40">
        <f t="shared" si="17"/>
        <v>-9.1923723557791326E-3</v>
      </c>
      <c r="Z76" s="44">
        <f t="shared" si="17"/>
        <v>-2.255607225454262E-2</v>
      </c>
      <c r="AA76" s="45">
        <f t="shared" si="17"/>
        <v>-1.3291667444604305E-2</v>
      </c>
    </row>
    <row r="77" spans="1:27" x14ac:dyDescent="0.2">
      <c r="B77" s="89" t="s">
        <v>51</v>
      </c>
      <c r="I77" s="15">
        <f>GEOMEAN(I35:I50)</f>
        <v>5.3788550123635508</v>
      </c>
      <c r="J77" s="15">
        <f>GEOMEAN(J35:J50)</f>
        <v>4.1797508761093578</v>
      </c>
      <c r="Q77" s="15">
        <f>GEOMEAN(Q35:Q50)</f>
        <v>5.3863205693688743</v>
      </c>
      <c r="R77" s="15">
        <f>GEOMEAN(R35:R50)</f>
        <v>3.5551980928238809</v>
      </c>
      <c r="S77" s="15">
        <f>GEOMEAN(S35:S50)</f>
        <v>0.85057655305360447</v>
      </c>
      <c r="T77" s="15">
        <f>GEOMEAN(T35:T50)</f>
        <v>1.001387945387664</v>
      </c>
      <c r="V77" s="40">
        <f>AVERAGE(V35:V50)</f>
        <v>-1.3254512596315909E-2</v>
      </c>
      <c r="W77" s="44">
        <f t="shared" ref="W77:AA77" si="18">AVERAGE(W35:W50)</f>
        <v>-2.7670647617765692E-2</v>
      </c>
      <c r="X77" s="44">
        <f t="shared" si="18"/>
        <v>-1.5988003529754297E-2</v>
      </c>
      <c r="Y77" s="40">
        <f t="shared" si="18"/>
        <v>-1.3254012113923491E-2</v>
      </c>
      <c r="Z77" s="44">
        <f t="shared" si="18"/>
        <v>-2.5710158047474119E-2</v>
      </c>
      <c r="AA77" s="45">
        <f t="shared" si="18"/>
        <v>-1.5519709401914883E-2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>
        <f>GEOMEAN(I59:I74)</f>
        <v>11.111366068773467</v>
      </c>
      <c r="J79" s="15">
        <f>GEOMEAN(J59:J74)</f>
        <v>13.63668550164857</v>
      </c>
      <c r="Q79" s="15">
        <f>GEOMEAN(Q59:Q74)</f>
        <v>10.638955231102745</v>
      </c>
      <c r="R79" s="15">
        <f>GEOMEAN(R59:R74)</f>
        <v>10.315021599192903</v>
      </c>
      <c r="S79" s="15">
        <f t="shared" ref="S79:T79" si="20">GEOMEAN(S59:S74)</f>
        <v>0.7564170632186169</v>
      </c>
      <c r="T79" s="15">
        <f t="shared" si="20"/>
        <v>0.95748400018982815</v>
      </c>
      <c r="V79" s="40">
        <f>AVERAGE(V59:V74)</f>
        <v>-0.25960983264236542</v>
      </c>
      <c r="W79" s="44">
        <f t="shared" ref="W79:AA79" si="21">AVERAGE(W59:W74)</f>
        <v>-0.19702141864823719</v>
      </c>
      <c r="X79" s="44">
        <f t="shared" si="21"/>
        <v>-0.1821376865103066</v>
      </c>
      <c r="Y79" s="40">
        <f t="shared" si="21"/>
        <v>-0.25926909413190868</v>
      </c>
      <c r="Z79" s="44">
        <f t="shared" si="21"/>
        <v>-0.19702976598169686</v>
      </c>
      <c r="AA79" s="45">
        <f t="shared" si="21"/>
        <v>-0.18224214169889216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15.957222653890272</v>
      </c>
      <c r="J80" s="54">
        <f xml:space="preserve"> GEOMEAN(J3:J50)</f>
        <v>16.329456699982874</v>
      </c>
      <c r="K80" s="4"/>
      <c r="L80" s="4"/>
      <c r="M80" s="4"/>
      <c r="N80" s="4"/>
      <c r="O80" s="4"/>
      <c r="P80" s="4"/>
      <c r="Q80" s="54">
        <f xml:space="preserve"> GEOMEAN(Q3:Q50)</f>
        <v>16.151559453213888</v>
      </c>
      <c r="R80" s="54">
        <f xml:space="preserve"> GEOMEAN(R3:R50)</f>
        <v>14.010600681749379</v>
      </c>
      <c r="S80" s="54">
        <f>GEOMEAN(S3:S50)</f>
        <v>0.85799551933433726</v>
      </c>
      <c r="T80" s="54">
        <f>GEOMEAN(T3:T50)</f>
        <v>1.0121786104975001</v>
      </c>
      <c r="U80" s="4"/>
      <c r="V80" s="41">
        <f>AVERAGE(V3:V50)</f>
        <v>-1.0394735197073105E-2</v>
      </c>
      <c r="W80" s="46">
        <f t="shared" ref="W80:AA80" si="22">AVERAGE(W3:W50)</f>
        <v>-2.4964610155599077E-2</v>
      </c>
      <c r="X80" s="47">
        <f t="shared" si="22"/>
        <v>-1.1833157760601629E-2</v>
      </c>
      <c r="Y80" s="46">
        <f t="shared" si="22"/>
        <v>-1.0235340301318683E-2</v>
      </c>
      <c r="Z80" s="46">
        <f t="shared" si="22"/>
        <v>-2.4005533470909658E-2</v>
      </c>
      <c r="AA80" s="47">
        <f t="shared" si="22"/>
        <v>-1.1727003879349976E-2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83"/>
  <sheetViews>
    <sheetView zoomScaleNormal="100" workbookViewId="0">
      <selection activeCell="A79" sqref="A79:XFD7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17390.16</v>
      </c>
      <c r="E3" s="13">
        <f>Reference!C145</f>
        <v>40.1492</v>
      </c>
      <c r="F3" s="13">
        <f>Reference!D145</f>
        <v>48.536700000000003</v>
      </c>
      <c r="G3" s="13">
        <f>Reference!E145</f>
        <v>46.381700000000002</v>
      </c>
      <c r="H3" s="13">
        <f>Reference!F145</f>
        <v>240649.625</v>
      </c>
      <c r="I3" s="13">
        <f>Reference!G145</f>
        <v>36.276000000000003</v>
      </c>
      <c r="J3" s="14">
        <f>H3/3600</f>
        <v>66.847118055555555</v>
      </c>
      <c r="L3" s="12">
        <f>Test!B145</f>
        <v>17145.407999999999</v>
      </c>
      <c r="M3" s="13">
        <f>Test!C145</f>
        <v>40.146700000000003</v>
      </c>
      <c r="N3" s="13">
        <f>Test!D145</f>
        <v>48.568100000000001</v>
      </c>
      <c r="O3" s="13">
        <f>Test!E145</f>
        <v>46.410699999999999</v>
      </c>
      <c r="P3" s="13">
        <f>Test!F145</f>
        <v>245875.82800000001</v>
      </c>
      <c r="Q3" s="13">
        <f>Test!G145</f>
        <v>36.213000000000001</v>
      </c>
      <c r="R3" s="14">
        <f>P3/3600</f>
        <v>68.298841111111116</v>
      </c>
      <c r="S3" s="12">
        <f t="shared" ref="S3:T3" si="0">P3/H3</f>
        <v>1.0217170627213734</v>
      </c>
      <c r="T3" s="13">
        <f t="shared" si="0"/>
        <v>0.99826331458815742</v>
      </c>
      <c r="U3" s="90"/>
      <c r="V3" s="37">
        <f>bdrate($D3:$D6,E3:E6,$L3:$L6,M3:M6)</f>
        <v>-8.7600947260865203E-3</v>
      </c>
      <c r="W3" s="42">
        <f>bdrate($D3:$D6,F3:F6,$L3:$L6,N3:N6)</f>
        <v>-2.9586091827932037E-2</v>
      </c>
      <c r="X3" s="43">
        <f>bdrate($D3:$D6,G3:G6,$L3:$L6,O3:O6)</f>
        <v>-2.7733926401968478E-2</v>
      </c>
      <c r="Y3" s="37">
        <f>bdrateOld($D3:$D6,E3:E6,$L3:$L6,M3:M6)</f>
        <v>-8.7892221219877387E-3</v>
      </c>
      <c r="Z3" s="42">
        <f>bdrateOld($D3:$D6,F3:F6,$L3:$L6,N3:N6)</f>
        <v>-2.9742194468127536E-2</v>
      </c>
      <c r="AA3" s="43">
        <f>bdrateOld($D3:$D6,G3:G6,$L3:$L6,O3:O6)</f>
        <v>-2.7825014568821138E-2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8764.9519999999993</v>
      </c>
      <c r="E4" s="18">
        <f>Reference!C146</f>
        <v>39.529299999999999</v>
      </c>
      <c r="F4" s="18">
        <f>Reference!D146</f>
        <v>47.650300000000001</v>
      </c>
      <c r="G4" s="18">
        <f>Reference!E146</f>
        <v>45.224899999999998</v>
      </c>
      <c r="H4" s="18">
        <f>Reference!F146</f>
        <v>145474.20300000001</v>
      </c>
      <c r="I4" s="18">
        <f>Reference!G146</f>
        <v>32.582000000000001</v>
      </c>
      <c r="J4" s="19">
        <f t="shared" ref="J4:J14" si="1">H4/3600</f>
        <v>40.409500833333333</v>
      </c>
      <c r="L4" s="17">
        <f>Test!B146</f>
        <v>8673</v>
      </c>
      <c r="M4" s="18">
        <f>Test!C146</f>
        <v>39.528100000000002</v>
      </c>
      <c r="N4" s="18">
        <f>Test!D146</f>
        <v>47.682400000000001</v>
      </c>
      <c r="O4" s="18">
        <f>Test!E146</f>
        <v>45.258899999999997</v>
      </c>
      <c r="P4" s="18">
        <f>Test!F146</f>
        <v>138079.859</v>
      </c>
      <c r="Q4" s="18">
        <f>Test!G146</f>
        <v>32.298999999999999</v>
      </c>
      <c r="R4" s="19">
        <f t="shared" ref="R4:R14" si="2">P4/3600</f>
        <v>38.355516388888887</v>
      </c>
      <c r="S4" s="17">
        <f t="shared" ref="S4:S26" si="3">P4/H4</f>
        <v>0.94917075435017151</v>
      </c>
      <c r="T4" s="18">
        <f t="shared" ref="T4:T26" si="4">Q4/I4</f>
        <v>0.99131422257688295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4775.9040000000005</v>
      </c>
      <c r="E5" s="18">
        <f>Reference!C147</f>
        <v>38.508699999999997</v>
      </c>
      <c r="F5" s="18">
        <f>Reference!D147</f>
        <v>46.487900000000003</v>
      </c>
      <c r="G5" s="18">
        <f>Reference!E147</f>
        <v>43.8018</v>
      </c>
      <c r="H5" s="18">
        <f>Reference!F147</f>
        <v>89047.18</v>
      </c>
      <c r="I5" s="18">
        <f>Reference!G147</f>
        <v>27.263999999999999</v>
      </c>
      <c r="J5" s="19">
        <f t="shared" si="1"/>
        <v>24.735327777777776</v>
      </c>
      <c r="L5" s="17">
        <f>Test!B147</f>
        <v>4732.2640000000001</v>
      </c>
      <c r="M5" s="18">
        <f>Test!C147</f>
        <v>38.5107</v>
      </c>
      <c r="N5" s="18">
        <f>Test!D147</f>
        <v>46.541899999999998</v>
      </c>
      <c r="O5" s="18">
        <f>Test!E147</f>
        <v>43.860199999999999</v>
      </c>
      <c r="P5" s="18">
        <f>Test!F147</f>
        <v>75368.516000000003</v>
      </c>
      <c r="Q5" s="18">
        <f>Test!G147</f>
        <v>27.326000000000001</v>
      </c>
      <c r="R5" s="19">
        <f t="shared" si="2"/>
        <v>20.93569888888889</v>
      </c>
      <c r="S5" s="17">
        <f t="shared" si="3"/>
        <v>0.84638857738111428</v>
      </c>
      <c r="T5" s="18">
        <f t="shared" si="4"/>
        <v>1.002274061032864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2600.2240000000002</v>
      </c>
      <c r="E6" s="23">
        <f>Reference!C148</f>
        <v>36.921599999999998</v>
      </c>
      <c r="F6" s="23">
        <f>Reference!D148</f>
        <v>45.1081</v>
      </c>
      <c r="G6" s="23">
        <f>Reference!E148</f>
        <v>42.219700000000003</v>
      </c>
      <c r="H6" s="23">
        <f>Reference!F148</f>
        <v>53412.652000000002</v>
      </c>
      <c r="I6" s="23">
        <f>Reference!G148</f>
        <v>23.396999999999998</v>
      </c>
      <c r="J6" s="24">
        <f t="shared" si="1"/>
        <v>14.836847777777779</v>
      </c>
      <c r="L6" s="22">
        <f>Test!B148</f>
        <v>2586.48</v>
      </c>
      <c r="M6" s="23">
        <f>Test!C148</f>
        <v>36.9161</v>
      </c>
      <c r="N6" s="23">
        <f>Test!D148</f>
        <v>45.113100000000003</v>
      </c>
      <c r="O6" s="23">
        <f>Test!E148</f>
        <v>42.2393</v>
      </c>
      <c r="P6" s="23">
        <f>Test!F148</f>
        <v>40668.800999999999</v>
      </c>
      <c r="Q6" s="23">
        <f>Test!G148</f>
        <v>23.975000000000001</v>
      </c>
      <c r="R6" s="24">
        <f t="shared" si="2"/>
        <v>11.296889166666666</v>
      </c>
      <c r="S6" s="17">
        <f t="shared" si="3"/>
        <v>0.76140763428110625</v>
      </c>
      <c r="T6" s="18">
        <f t="shared" si="4"/>
        <v>1.0247040218831476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95332.911999999997</v>
      </c>
      <c r="E7" s="13">
        <f>Reference!C149</f>
        <v>41.636000000000003</v>
      </c>
      <c r="F7" s="13">
        <f>Reference!D149</f>
        <v>36.474400000000003</v>
      </c>
      <c r="G7" s="13">
        <f>Reference!E149</f>
        <v>37.469700000000003</v>
      </c>
      <c r="H7" s="13">
        <f>Reference!F149</f>
        <v>405117.53100000002</v>
      </c>
      <c r="I7" s="13">
        <f>Reference!G149</f>
        <v>38.759</v>
      </c>
      <c r="J7" s="14">
        <f t="shared" si="1"/>
        <v>112.53264750000001</v>
      </c>
      <c r="L7" s="12">
        <f>Test!B149</f>
        <v>94534.351999999999</v>
      </c>
      <c r="M7" s="13">
        <f>Test!C149</f>
        <v>41.641199999999998</v>
      </c>
      <c r="N7" s="13">
        <f>Test!D149</f>
        <v>36.483899999999998</v>
      </c>
      <c r="O7" s="13">
        <f>Test!E149</f>
        <v>37.475499999999997</v>
      </c>
      <c r="P7" s="13">
        <f>Test!F149</f>
        <v>442691.96899999998</v>
      </c>
      <c r="Q7" s="13">
        <f>Test!G149</f>
        <v>39.752000000000002</v>
      </c>
      <c r="R7" s="14">
        <f t="shared" si="2"/>
        <v>122.96999138888889</v>
      </c>
      <c r="S7" s="17">
        <f t="shared" si="3"/>
        <v>1.0927494742260364</v>
      </c>
      <c r="T7" s="18">
        <f t="shared" si="4"/>
        <v>1.0256198560334375</v>
      </c>
      <c r="U7" s="91"/>
      <c r="V7" s="37">
        <f>bdrate($D7:$D10,E7:E10,$L7:$L10,M7:M10)</f>
        <v>-1.1172660108654031E-2</v>
      </c>
      <c r="W7" s="42">
        <f>bdrate($D7:$D10,F7:F10,$L7:$L10,N7:N10)</f>
        <v>-1.5000561534407209E-2</v>
      </c>
      <c r="X7" s="43">
        <f>bdrate($D7:$D10,G7:G10,$L7:$L10,O7:O10)</f>
        <v>-1.6954622888820436E-2</v>
      </c>
      <c r="Y7" s="37">
        <f>bdrateOld($D7:$D10,E7:E10,$L7:$L10,M7:M10)</f>
        <v>-1.1155290488315761E-2</v>
      </c>
      <c r="Z7" s="42">
        <f>bdrateOld($D7:$D10,F7:F10,$L7:$L10,N7:N10)</f>
        <v>-1.4957766289151575E-2</v>
      </c>
      <c r="AA7" s="43">
        <f>bdrateOld($D7:$D10,G7:G10,$L7:$L10,O7:O10)</f>
        <v>-1.6989936185648369E-2</v>
      </c>
    </row>
    <row r="8" spans="1:27" x14ac:dyDescent="0.2">
      <c r="A8" s="16"/>
      <c r="B8" s="85"/>
      <c r="C8" s="16">
        <v>48</v>
      </c>
      <c r="D8" s="17">
        <f>Reference!B150</f>
        <v>48968.552000000003</v>
      </c>
      <c r="E8" s="18">
        <f>Reference!C150</f>
        <v>38.847999999999999</v>
      </c>
      <c r="F8" s="18">
        <f>Reference!D150</f>
        <v>34.132800000000003</v>
      </c>
      <c r="G8" s="18">
        <f>Reference!E150</f>
        <v>35.4619</v>
      </c>
      <c r="H8" s="18">
        <f>Reference!F150</f>
        <v>286750.93800000002</v>
      </c>
      <c r="I8" s="18">
        <f>Reference!G150</f>
        <v>32.878999999999998</v>
      </c>
      <c r="J8" s="19">
        <f t="shared" si="1"/>
        <v>79.653038333333342</v>
      </c>
      <c r="L8" s="17">
        <f>Test!B150</f>
        <v>48486.239999999998</v>
      </c>
      <c r="M8" s="18">
        <f>Test!C150</f>
        <v>38.858600000000003</v>
      </c>
      <c r="N8" s="18">
        <f>Test!D150</f>
        <v>34.145600000000002</v>
      </c>
      <c r="O8" s="18">
        <f>Test!E150</f>
        <v>35.476900000000001</v>
      </c>
      <c r="P8" s="18">
        <f>Test!F150</f>
        <v>302120.5</v>
      </c>
      <c r="Q8" s="18">
        <f>Test!G150</f>
        <v>32.774000000000001</v>
      </c>
      <c r="R8" s="19">
        <f t="shared" si="2"/>
        <v>83.922361111111115</v>
      </c>
      <c r="S8" s="17">
        <f t="shared" si="3"/>
        <v>1.0535989946787898</v>
      </c>
      <c r="T8" s="18">
        <f t="shared" si="4"/>
        <v>0.99680647221630836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22601.191999999999</v>
      </c>
      <c r="E9" s="18">
        <f>Reference!C151</f>
        <v>35.7423</v>
      </c>
      <c r="F9" s="18">
        <f>Reference!D151</f>
        <v>32.173400000000001</v>
      </c>
      <c r="G9" s="18">
        <f>Reference!E151</f>
        <v>33.735399999999998</v>
      </c>
      <c r="H9" s="18">
        <f>Reference!F151</f>
        <v>192782.96900000001</v>
      </c>
      <c r="I9" s="18">
        <f>Reference!G151</f>
        <v>27.484000000000002</v>
      </c>
      <c r="J9" s="19">
        <f t="shared" si="1"/>
        <v>53.550824722222224</v>
      </c>
      <c r="L9" s="17">
        <f>Test!B151</f>
        <v>22411.984</v>
      </c>
      <c r="M9" s="18">
        <f>Test!C151</f>
        <v>35.753599999999999</v>
      </c>
      <c r="N9" s="18">
        <f>Test!D151</f>
        <v>32.193199999999997</v>
      </c>
      <c r="O9" s="18">
        <f>Test!E151</f>
        <v>33.756900000000002</v>
      </c>
      <c r="P9" s="18">
        <f>Test!F151</f>
        <v>193222.125</v>
      </c>
      <c r="Q9" s="18">
        <f>Test!G151</f>
        <v>27.76</v>
      </c>
      <c r="R9" s="19">
        <f t="shared" si="2"/>
        <v>53.672812499999999</v>
      </c>
      <c r="S9" s="17">
        <f t="shared" si="3"/>
        <v>1.0022779813086082</v>
      </c>
      <c r="T9" s="18">
        <f t="shared" si="4"/>
        <v>1.0100422063746179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9413.3040000000001</v>
      </c>
      <c r="E10" s="23">
        <f>Reference!C152</f>
        <v>32.71</v>
      </c>
      <c r="F10" s="23">
        <f>Reference!D152</f>
        <v>30.481400000000001</v>
      </c>
      <c r="G10" s="23">
        <f>Reference!E152</f>
        <v>32.251399999999997</v>
      </c>
      <c r="H10" s="23">
        <f>Reference!F152</f>
        <v>113352.773</v>
      </c>
      <c r="I10" s="23">
        <f>Reference!G152</f>
        <v>24.43</v>
      </c>
      <c r="J10" s="24">
        <f t="shared" si="1"/>
        <v>31.486881388888889</v>
      </c>
      <c r="L10" s="22">
        <f>Test!B152</f>
        <v>9355.0640000000003</v>
      </c>
      <c r="M10" s="23">
        <f>Test!C152</f>
        <v>32.717599999999997</v>
      </c>
      <c r="N10" s="23">
        <f>Test!D152</f>
        <v>30.5016</v>
      </c>
      <c r="O10" s="23">
        <f>Test!E152</f>
        <v>32.279699999999998</v>
      </c>
      <c r="P10" s="23">
        <f>Test!F152</f>
        <v>108174.859</v>
      </c>
      <c r="Q10" s="23">
        <f>Test!G152</f>
        <v>24.469000000000001</v>
      </c>
      <c r="R10" s="24">
        <f t="shared" si="2"/>
        <v>30.048571944444443</v>
      </c>
      <c r="S10" s="17">
        <f t="shared" si="3"/>
        <v>0.95432035879704502</v>
      </c>
      <c r="T10" s="18">
        <f t="shared" si="4"/>
        <v>1.0015963978714695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47666.256000000001</v>
      </c>
      <c r="E11" s="13">
        <f>Reference!C153</f>
        <v>38.893099999999997</v>
      </c>
      <c r="F11" s="13">
        <f>Reference!D153</f>
        <v>41.007199999999997</v>
      </c>
      <c r="G11" s="13">
        <f>Reference!E153</f>
        <v>41.322099999999999</v>
      </c>
      <c r="H11" s="13">
        <f>Reference!F153</f>
        <v>231288.04699999999</v>
      </c>
      <c r="I11" s="13">
        <f>Reference!G153</f>
        <v>20.96</v>
      </c>
      <c r="J11" s="14">
        <f t="shared" si="1"/>
        <v>64.246679722222225</v>
      </c>
      <c r="L11" s="12">
        <f>Test!B153</f>
        <v>47378.12</v>
      </c>
      <c r="M11" s="13">
        <f>Test!C153</f>
        <v>38.890599999999999</v>
      </c>
      <c r="N11" s="13">
        <f>Test!D153</f>
        <v>41.020099999999999</v>
      </c>
      <c r="O11" s="13">
        <f>Test!E153</f>
        <v>41.2744</v>
      </c>
      <c r="P11" s="13">
        <f>Test!F153</f>
        <v>243916.68799999999</v>
      </c>
      <c r="Q11" s="13">
        <f>Test!G153</f>
        <v>21.864000000000001</v>
      </c>
      <c r="R11" s="14">
        <f t="shared" si="2"/>
        <v>67.754635555555552</v>
      </c>
      <c r="S11" s="17">
        <f t="shared" si="3"/>
        <v>1.0546013560311658</v>
      </c>
      <c r="T11" s="18">
        <f t="shared" si="4"/>
        <v>1.0431297709923664</v>
      </c>
      <c r="U11" s="91"/>
      <c r="V11" s="37">
        <f>bdrate($D11:$D14,E11:E14,$L11:$L14,M11:M14)</f>
        <v>-6.492536969683993E-3</v>
      </c>
      <c r="W11" s="42">
        <f>bdrate($D11:$D14,F11:F14,$L11:$L14,N11:N14)</f>
        <v>-6.9661848211988175E-3</v>
      </c>
      <c r="X11" s="43">
        <f>bdrate($D11:$D14,G11:G14,$L11:$L14,O11:O14)</f>
        <v>-3.4741038786547662E-3</v>
      </c>
      <c r="Y11" s="37">
        <f>bdrateOld($D11:$D14,E11:E14,$L11:$L14,M11:M14)</f>
        <v>-6.3803430655204885E-3</v>
      </c>
      <c r="Z11" s="42">
        <f>bdrateOld($D11:$D14,F11:F14,$L11:$L14,N11:N14)</f>
        <v>-6.9558669887601621E-3</v>
      </c>
      <c r="AA11" s="43">
        <f>bdrateOld($D11:$D14,G11:G14,$L11:$L14,O11:O14)</f>
        <v>-3.5266692893480833E-3</v>
      </c>
    </row>
    <row r="12" spans="1:27" x14ac:dyDescent="0.2">
      <c r="A12" s="34"/>
      <c r="B12" s="83"/>
      <c r="C12" s="16">
        <v>48</v>
      </c>
      <c r="D12" s="17">
        <f>Reference!B154</f>
        <v>23372.991999999998</v>
      </c>
      <c r="E12" s="18">
        <f>Reference!C154</f>
        <v>37.503700000000002</v>
      </c>
      <c r="F12" s="18">
        <f>Reference!D154</f>
        <v>38.477600000000002</v>
      </c>
      <c r="G12" s="18">
        <f>Reference!E154</f>
        <v>39.790100000000002</v>
      </c>
      <c r="H12" s="18">
        <f>Reference!F154</f>
        <v>143248.09400000001</v>
      </c>
      <c r="I12" s="18">
        <f>Reference!G154</f>
        <v>17.931000000000001</v>
      </c>
      <c r="J12" s="19">
        <f t="shared" si="1"/>
        <v>39.791137222222225</v>
      </c>
      <c r="L12" s="17">
        <f>Test!B154</f>
        <v>23269.272000000001</v>
      </c>
      <c r="M12" s="18">
        <f>Test!C154</f>
        <v>37.511000000000003</v>
      </c>
      <c r="N12" s="18">
        <f>Test!D154</f>
        <v>38.485999999999997</v>
      </c>
      <c r="O12" s="18">
        <f>Test!E154</f>
        <v>39.768999999999998</v>
      </c>
      <c r="P12" s="18">
        <f>Test!F154</f>
        <v>141293.78099999999</v>
      </c>
      <c r="Q12" s="18">
        <f>Test!G154</f>
        <v>18.306000000000001</v>
      </c>
      <c r="R12" s="19">
        <f t="shared" si="2"/>
        <v>39.248272499999999</v>
      </c>
      <c r="S12" s="17">
        <f t="shared" si="3"/>
        <v>0.98635714482874703</v>
      </c>
      <c r="T12" s="18">
        <f t="shared" si="4"/>
        <v>1.0209135017567341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12130.647999999999</v>
      </c>
      <c r="E13" s="18">
        <f>Reference!C155</f>
        <v>35.9236</v>
      </c>
      <c r="F13" s="18">
        <f>Reference!D155</f>
        <v>36.289099999999998</v>
      </c>
      <c r="G13" s="18">
        <f>Reference!E155</f>
        <v>38.286900000000003</v>
      </c>
      <c r="H13" s="18">
        <f>Reference!F155</f>
        <v>94202.289000000004</v>
      </c>
      <c r="I13" s="18">
        <f>Reference!G155</f>
        <v>15.522</v>
      </c>
      <c r="J13" s="19">
        <f t="shared" si="1"/>
        <v>26.167302500000002</v>
      </c>
      <c r="L13" s="17">
        <f>Test!B155</f>
        <v>12087.103999999999</v>
      </c>
      <c r="M13" s="18">
        <f>Test!C155</f>
        <v>35.930399999999999</v>
      </c>
      <c r="N13" s="18">
        <f>Test!D155</f>
        <v>36.295499999999997</v>
      </c>
      <c r="O13" s="18">
        <f>Test!E155</f>
        <v>38.302399999999999</v>
      </c>
      <c r="P13" s="18">
        <f>Test!F155</f>
        <v>88936.687999999995</v>
      </c>
      <c r="Q13" s="18">
        <f>Test!G155</f>
        <v>15.932</v>
      </c>
      <c r="R13" s="19">
        <f t="shared" si="2"/>
        <v>24.704635555555555</v>
      </c>
      <c r="S13" s="17">
        <f t="shared" si="3"/>
        <v>0.94410325846753029</v>
      </c>
      <c r="T13" s="18">
        <f t="shared" si="4"/>
        <v>1.0264141218915088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5935.28</v>
      </c>
      <c r="E14" s="23">
        <f>Reference!C156</f>
        <v>33.981000000000002</v>
      </c>
      <c r="F14" s="23">
        <f>Reference!D156</f>
        <v>33.866199999999999</v>
      </c>
      <c r="G14" s="23">
        <f>Reference!E156</f>
        <v>36.531700000000001</v>
      </c>
      <c r="H14" s="23">
        <f>Reference!F156</f>
        <v>59517.398000000001</v>
      </c>
      <c r="I14" s="23">
        <f>Reference!G156</f>
        <v>13.28</v>
      </c>
      <c r="J14" s="24">
        <f t="shared" si="1"/>
        <v>16.532610555555557</v>
      </c>
      <c r="L14" s="22">
        <f>Test!B156</f>
        <v>5918.7280000000001</v>
      </c>
      <c r="M14" s="23">
        <f>Test!C156</f>
        <v>33.989699999999999</v>
      </c>
      <c r="N14" s="23">
        <f>Test!D156</f>
        <v>33.886400000000002</v>
      </c>
      <c r="O14" s="23">
        <f>Test!E156</f>
        <v>36.584299999999999</v>
      </c>
      <c r="P14" s="23">
        <f>Test!F156</f>
        <v>53202.722999999998</v>
      </c>
      <c r="Q14" s="23">
        <f>Test!G156</f>
        <v>14.045999999999999</v>
      </c>
      <c r="R14" s="24">
        <f t="shared" si="2"/>
        <v>14.778534166666667</v>
      </c>
      <c r="S14" s="17">
        <f t="shared" si="3"/>
        <v>0.89390203180589312</v>
      </c>
      <c r="T14" s="18">
        <f t="shared" si="4"/>
        <v>1.0576807228915663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25135.784</v>
      </c>
      <c r="E15" s="13">
        <f>Reference!C157</f>
        <v>37.5047</v>
      </c>
      <c r="F15" s="13">
        <f>Reference!D157</f>
        <v>44.7592</v>
      </c>
      <c r="G15" s="13">
        <f>Reference!E157</f>
        <v>42.4664</v>
      </c>
      <c r="H15" s="13">
        <f>Reference!F157</f>
        <v>340263.96899999998</v>
      </c>
      <c r="I15" s="13">
        <f>Reference!G157</f>
        <v>34.679000000000002</v>
      </c>
      <c r="J15" s="14">
        <f>H15/3600</f>
        <v>94.517769166666668</v>
      </c>
      <c r="L15" s="12">
        <f>Test!B157</f>
        <v>24794.815999999999</v>
      </c>
      <c r="M15" s="13">
        <f>Test!C157</f>
        <v>37.5062</v>
      </c>
      <c r="N15" s="13">
        <f>Test!D157</f>
        <v>44.789900000000003</v>
      </c>
      <c r="O15" s="13">
        <f>Test!E157</f>
        <v>42.475999999999999</v>
      </c>
      <c r="P15" s="13">
        <f>Test!F157</f>
        <v>361211.53100000002</v>
      </c>
      <c r="Q15" s="13">
        <f>Test!G157</f>
        <v>34.682000000000002</v>
      </c>
      <c r="R15" s="14">
        <f>P15/3600</f>
        <v>100.33653638888889</v>
      </c>
      <c r="S15" s="17">
        <f t="shared" si="3"/>
        <v>1.0615626804729361</v>
      </c>
      <c r="T15" s="18">
        <f t="shared" si="4"/>
        <v>1.000086507684766</v>
      </c>
      <c r="U15" s="91"/>
      <c r="V15" s="37">
        <f>bdrate($D15:$D18,E15:E18,$L15:$L18,M15:M18)</f>
        <v>-1.1866761880164112E-2</v>
      </c>
      <c r="W15" s="42">
        <f>bdrate($D15:$D18,F15:F18,$L15:$L18,N15:N18)</f>
        <v>-3.7569100997044802E-2</v>
      </c>
      <c r="X15" s="43">
        <f>bdrate($D15:$D18,G15:G18,$L15:$L18,O15:O18)</f>
        <v>-1.4847142104836286E-2</v>
      </c>
      <c r="Y15" s="37">
        <f>bdrateOld($D15:$D18,E15:E18,$L15:$L18,M15:M18)</f>
        <v>-1.1659297950643244E-2</v>
      </c>
      <c r="Z15" s="42">
        <f>bdrateOld($D15:$D18,F15:F18,$L15:$L18,N15:N18)</f>
        <v>-3.6520045963290282E-2</v>
      </c>
      <c r="AA15" s="43">
        <f>bdrateOld($D15:$D18,G15:G18,$L15:$L18,O15:O18)</f>
        <v>-1.5254776060059649E-2</v>
      </c>
    </row>
    <row r="16" spans="1:27" x14ac:dyDescent="0.2">
      <c r="A16" s="16"/>
      <c r="B16" s="85"/>
      <c r="C16" s="16">
        <v>48</v>
      </c>
      <c r="D16" s="17">
        <f>Reference!B158</f>
        <v>10682.191999999999</v>
      </c>
      <c r="E16" s="18">
        <f>Reference!C158</f>
        <v>36.856699999999996</v>
      </c>
      <c r="F16" s="18">
        <f>Reference!D158</f>
        <v>44.014200000000002</v>
      </c>
      <c r="G16" s="18">
        <f>Reference!E158</f>
        <v>41.6661</v>
      </c>
      <c r="H16" s="18">
        <f>Reference!F158</f>
        <v>185198.891</v>
      </c>
      <c r="I16" s="18">
        <f>Reference!G158</f>
        <v>28.492999999999999</v>
      </c>
      <c r="J16" s="19">
        <f t="shared" ref="J16:J26" si="5">H16/3600</f>
        <v>51.444136388888893</v>
      </c>
      <c r="L16" s="17">
        <f>Test!B158</f>
        <v>10576.224</v>
      </c>
      <c r="M16" s="18">
        <f>Test!C158</f>
        <v>36.86</v>
      </c>
      <c r="N16" s="18">
        <f>Test!D158</f>
        <v>44.049199999999999</v>
      </c>
      <c r="O16" s="18">
        <f>Test!E158</f>
        <v>41.677700000000002</v>
      </c>
      <c r="P16" s="18">
        <f>Test!F158</f>
        <v>185415.5</v>
      </c>
      <c r="Q16" s="18">
        <f>Test!G158</f>
        <v>28.311</v>
      </c>
      <c r="R16" s="19">
        <f t="shared" ref="R16:R26" si="6">P16/3600</f>
        <v>51.504305555555554</v>
      </c>
      <c r="S16" s="17">
        <f t="shared" si="3"/>
        <v>1.0011696020361158</v>
      </c>
      <c r="T16" s="18">
        <f t="shared" si="4"/>
        <v>0.99361246621977328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5346.0720000000001</v>
      </c>
      <c r="E17" s="18">
        <f>Reference!C159</f>
        <v>35.811999999999998</v>
      </c>
      <c r="F17" s="18">
        <f>Reference!D159</f>
        <v>42.928199999999997</v>
      </c>
      <c r="G17" s="18">
        <f>Reference!E159</f>
        <v>40.559399999999997</v>
      </c>
      <c r="H17" s="18">
        <f>Reference!F159</f>
        <v>109311.523</v>
      </c>
      <c r="I17" s="18">
        <f>Reference!G159</f>
        <v>23.652999999999999</v>
      </c>
      <c r="J17" s="19">
        <f t="shared" si="5"/>
        <v>30.364311944444445</v>
      </c>
      <c r="L17" s="17">
        <f>Test!B159</f>
        <v>5309.4319999999998</v>
      </c>
      <c r="M17" s="18">
        <f>Test!C159</f>
        <v>35.82</v>
      </c>
      <c r="N17" s="18">
        <f>Test!D159</f>
        <v>42.9895</v>
      </c>
      <c r="O17" s="18">
        <f>Test!E159</f>
        <v>40.558199999999999</v>
      </c>
      <c r="P17" s="18">
        <f>Test!F159</f>
        <v>99848.312000000005</v>
      </c>
      <c r="Q17" s="18">
        <f>Test!G159</f>
        <v>23.742000000000001</v>
      </c>
      <c r="R17" s="19">
        <f t="shared" si="6"/>
        <v>27.735642222222225</v>
      </c>
      <c r="S17" s="17">
        <f t="shared" si="3"/>
        <v>0.91342897125310385</v>
      </c>
      <c r="T17" s="18">
        <f t="shared" si="4"/>
        <v>1.0037627362279626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2664.944</v>
      </c>
      <c r="E18" s="23">
        <f>Reference!C160</f>
        <v>34.2029</v>
      </c>
      <c r="F18" s="23">
        <f>Reference!D160</f>
        <v>41.617100000000001</v>
      </c>
      <c r="G18" s="23">
        <f>Reference!E160</f>
        <v>39.323999999999998</v>
      </c>
      <c r="H18" s="23">
        <f>Reference!F160</f>
        <v>61816.300999999999</v>
      </c>
      <c r="I18" s="23">
        <f>Reference!G160</f>
        <v>19.690000000000001</v>
      </c>
      <c r="J18" s="24">
        <f t="shared" si="5"/>
        <v>17.171194722222221</v>
      </c>
      <c r="L18" s="22">
        <f>Test!B160</f>
        <v>2641.752</v>
      </c>
      <c r="M18" s="23">
        <f>Test!C160</f>
        <v>34.209200000000003</v>
      </c>
      <c r="N18" s="23">
        <f>Test!D160</f>
        <v>41.629600000000003</v>
      </c>
      <c r="O18" s="23">
        <f>Test!E160</f>
        <v>39.354199999999999</v>
      </c>
      <c r="P18" s="23">
        <f>Test!F160</f>
        <v>51410.34</v>
      </c>
      <c r="Q18" s="23">
        <f>Test!G160</f>
        <v>19.376000000000001</v>
      </c>
      <c r="R18" s="24">
        <f t="shared" si="6"/>
        <v>14.28065</v>
      </c>
      <c r="S18" s="17">
        <f t="shared" si="3"/>
        <v>0.8316631562927066</v>
      </c>
      <c r="T18" s="18">
        <f t="shared" si="4"/>
        <v>0.98405281868969019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8512.2559999999994</v>
      </c>
      <c r="E19" s="13">
        <f>Reference!C161</f>
        <v>37.947099999999999</v>
      </c>
      <c r="F19" s="13">
        <f>Reference!D161</f>
        <v>39.547699999999999</v>
      </c>
      <c r="G19" s="13">
        <f>Reference!E161</f>
        <v>42.546900000000001</v>
      </c>
      <c r="H19" s="13">
        <f>Reference!F161</f>
        <v>384422.68800000002</v>
      </c>
      <c r="I19" s="13">
        <f>Reference!G161</f>
        <v>30.274999999999999</v>
      </c>
      <c r="J19" s="14">
        <f t="shared" si="5"/>
        <v>106.78408</v>
      </c>
      <c r="L19" s="12">
        <f>Test!B161</f>
        <v>8380.8575999999994</v>
      </c>
      <c r="M19" s="13">
        <f>Test!C161</f>
        <v>37.951099999999997</v>
      </c>
      <c r="N19" s="13">
        <f>Test!D161</f>
        <v>39.555900000000001</v>
      </c>
      <c r="O19" s="13">
        <f>Test!E161</f>
        <v>42.55</v>
      </c>
      <c r="P19" s="13">
        <f>Test!F161</f>
        <v>411789</v>
      </c>
      <c r="Q19" s="13">
        <f>Test!G161</f>
        <v>30.033999999999999</v>
      </c>
      <c r="R19" s="14">
        <f t="shared" si="6"/>
        <v>114.38583333333334</v>
      </c>
      <c r="S19" s="12">
        <f t="shared" si="3"/>
        <v>1.0711880772239957</v>
      </c>
      <c r="T19" s="13">
        <f t="shared" si="4"/>
        <v>0.99203963666391415</v>
      </c>
      <c r="U19" s="90"/>
      <c r="V19" s="37">
        <f>bdrate($D19:$D22,E19:E22,$L19:$L22,M19:M22)</f>
        <v>-1.6849838722288957E-2</v>
      </c>
      <c r="W19" s="42">
        <f>bdrate($D19:$D22,F19:F22,$L19:$L22,N19:N22)</f>
        <v>-3.1049076720084723E-2</v>
      </c>
      <c r="X19" s="43">
        <f>bdrate($D19:$D22,G19:G22,$L19:$L22,O19:O22)</f>
        <v>-1.7183779991699955E-2</v>
      </c>
      <c r="Y19" s="37">
        <f>bdrateOld($D19:$D22,E19:E22,$L19:$L22,M19:M22)</f>
        <v>-1.6869912968228817E-2</v>
      </c>
      <c r="Z19" s="42">
        <f>bdrateOld($D19:$D22,F19:F22,$L19:$L22,N19:N22)</f>
        <v>-3.1394441458168165E-2</v>
      </c>
      <c r="AA19" s="43">
        <f>bdrateOld($D19:$D22,G19:G22,$L19:$L22,O19:O22)</f>
        <v>-1.6431765214163674E-2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4045.3328000000001</v>
      </c>
      <c r="E20" s="18">
        <f>Reference!C162</f>
        <v>36.587299999999999</v>
      </c>
      <c r="F20" s="18">
        <f>Reference!D162</f>
        <v>38.8279</v>
      </c>
      <c r="G20" s="18">
        <f>Reference!E162</f>
        <v>41.323</v>
      </c>
      <c r="H20" s="18">
        <f>Reference!F162</f>
        <v>235044.516</v>
      </c>
      <c r="I20" s="18">
        <f>Reference!G162</f>
        <v>23.31</v>
      </c>
      <c r="J20" s="19">
        <f t="shared" si="5"/>
        <v>65.290143333333333</v>
      </c>
      <c r="L20" s="17">
        <f>Test!B162</f>
        <v>3975.3728000000001</v>
      </c>
      <c r="M20" s="18">
        <f>Test!C162</f>
        <v>36.589500000000001</v>
      </c>
      <c r="N20" s="18">
        <f>Test!D162</f>
        <v>38.840800000000002</v>
      </c>
      <c r="O20" s="18">
        <f>Test!E162</f>
        <v>41.350999999999999</v>
      </c>
      <c r="P20" s="18">
        <f>Test!F162</f>
        <v>238248.141</v>
      </c>
      <c r="Q20" s="18">
        <f>Test!G162</f>
        <v>24.172000000000001</v>
      </c>
      <c r="R20" s="19">
        <f t="shared" si="6"/>
        <v>66.180039166666674</v>
      </c>
      <c r="S20" s="17">
        <f t="shared" si="3"/>
        <v>1.0136298649061015</v>
      </c>
      <c r="T20" s="18">
        <f t="shared" si="4"/>
        <v>1.0369798369798371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1979.8176000000001</v>
      </c>
      <c r="E21" s="18">
        <f>Reference!C163</f>
        <v>34.740499999999997</v>
      </c>
      <c r="F21" s="18">
        <f>Reference!D163</f>
        <v>37.907800000000002</v>
      </c>
      <c r="G21" s="18">
        <f>Reference!E163</f>
        <v>39.804900000000004</v>
      </c>
      <c r="H21" s="18">
        <f>Reference!F163</f>
        <v>146573.59400000001</v>
      </c>
      <c r="I21" s="18">
        <f>Reference!G163</f>
        <v>18.847999999999999</v>
      </c>
      <c r="J21" s="19">
        <f t="shared" si="5"/>
        <v>40.714887222222224</v>
      </c>
      <c r="L21" s="17">
        <f>Test!B163</f>
        <v>1952.5616</v>
      </c>
      <c r="M21" s="18">
        <f>Test!C163</f>
        <v>34.750599999999999</v>
      </c>
      <c r="N21" s="18">
        <f>Test!D163</f>
        <v>37.945099999999996</v>
      </c>
      <c r="O21" s="18">
        <f>Test!E163</f>
        <v>39.789700000000003</v>
      </c>
      <c r="P21" s="18">
        <f>Test!F163</f>
        <v>140807.34400000001</v>
      </c>
      <c r="Q21" s="18">
        <f>Test!G163</f>
        <v>20.148</v>
      </c>
      <c r="R21" s="19">
        <f t="shared" si="6"/>
        <v>39.113151111111115</v>
      </c>
      <c r="S21" s="17">
        <f t="shared" si="3"/>
        <v>0.96065969426935116</v>
      </c>
      <c r="T21" s="18">
        <f t="shared" si="4"/>
        <v>1.0689728353140917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936.18399999999997</v>
      </c>
      <c r="E22" s="23">
        <f>Reference!C164</f>
        <v>32.404899999999998</v>
      </c>
      <c r="F22" s="23">
        <f>Reference!D164</f>
        <v>36.8035</v>
      </c>
      <c r="G22" s="23">
        <f>Reference!E164</f>
        <v>38.066099999999999</v>
      </c>
      <c r="H22" s="23">
        <f>Reference!F164</f>
        <v>90962.039000000004</v>
      </c>
      <c r="I22" s="23">
        <f>Reference!G164</f>
        <v>15.484999999999999</v>
      </c>
      <c r="J22" s="24">
        <f t="shared" si="5"/>
        <v>25.267233055555558</v>
      </c>
      <c r="L22" s="22">
        <f>Test!B164</f>
        <v>927.6336</v>
      </c>
      <c r="M22" s="23">
        <f>Test!C164</f>
        <v>32.416899999999998</v>
      </c>
      <c r="N22" s="23">
        <f>Test!D164</f>
        <v>36.8108</v>
      </c>
      <c r="O22" s="23">
        <f>Test!E164</f>
        <v>38.077399999999997</v>
      </c>
      <c r="P22" s="23">
        <f>Test!F164</f>
        <v>80772.452999999994</v>
      </c>
      <c r="Q22" s="23">
        <f>Test!G164</f>
        <v>16.425000000000001</v>
      </c>
      <c r="R22" s="24">
        <f t="shared" si="6"/>
        <v>22.436792499999999</v>
      </c>
      <c r="S22" s="17">
        <f t="shared" si="3"/>
        <v>0.88797979781433867</v>
      </c>
      <c r="T22" s="18">
        <f t="shared" si="4"/>
        <v>1.0607039070067807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9773.6607999999997</v>
      </c>
      <c r="E23" s="13">
        <f>Reference!C165</f>
        <v>38.684899999999999</v>
      </c>
      <c r="F23" s="13">
        <f>Reference!D165</f>
        <v>43.4833</v>
      </c>
      <c r="G23" s="13">
        <f>Reference!E165</f>
        <v>44.357799999999997</v>
      </c>
      <c r="H23" s="13">
        <f>Reference!F165</f>
        <v>399302.46899999998</v>
      </c>
      <c r="I23" s="13">
        <f>Reference!G165</f>
        <v>40.012999999999998</v>
      </c>
      <c r="J23" s="14">
        <f t="shared" si="5"/>
        <v>110.91735249999999</v>
      </c>
      <c r="L23" s="12">
        <f>Test!B165</f>
        <v>9658.0144</v>
      </c>
      <c r="M23" s="13">
        <f>Test!C165</f>
        <v>38.687100000000001</v>
      </c>
      <c r="N23" s="13">
        <f>Test!D165</f>
        <v>43.515700000000002</v>
      </c>
      <c r="O23" s="13">
        <f>Test!E165</f>
        <v>44.398099999999999</v>
      </c>
      <c r="P23" s="13">
        <f>Test!F165</f>
        <v>426677.28100000002</v>
      </c>
      <c r="Q23" s="13">
        <f>Test!G165</f>
        <v>39.959000000000003</v>
      </c>
      <c r="R23" s="14">
        <f t="shared" si="6"/>
        <v>118.52146694444446</v>
      </c>
      <c r="S23" s="17">
        <f t="shared" si="3"/>
        <v>1.068556580850994</v>
      </c>
      <c r="T23" s="18">
        <f t="shared" si="4"/>
        <v>0.99865043860745273</v>
      </c>
      <c r="U23" s="91"/>
      <c r="V23" s="37">
        <f>bdrate($D23:$D26,E23:E26,$L23:$L26,M23:M26)</f>
        <v>-1.2321197910160064E-2</v>
      </c>
      <c r="W23" s="42">
        <f>bdrate($D23:$D26,F23:F26,$L23:$L26,N23:N26)</f>
        <v>-3.119333251714218E-2</v>
      </c>
      <c r="X23" s="43">
        <f>bdrate($D23:$D26,G23:G26,$L23:$L26,O23:O26)</f>
        <v>-2.7288556100766082E-2</v>
      </c>
      <c r="Y23" s="37">
        <f>bdrateOld($D23:$D26,E23:E26,$L23:$L26,M23:M26)</f>
        <v>-1.2194535274270724E-2</v>
      </c>
      <c r="Z23" s="42">
        <f>bdrateOld($D23:$D26,F23:F26,$L23:$L26,N23:N26)</f>
        <v>-3.1004399413576245E-2</v>
      </c>
      <c r="AA23" s="43">
        <f>bdrateOld($D23:$D26,G23:G26,$L23:$L26,O23:O26)</f>
        <v>-2.7262957582253278E-2</v>
      </c>
    </row>
    <row r="24" spans="1:27" x14ac:dyDescent="0.2">
      <c r="A24" s="34"/>
      <c r="B24" s="85"/>
      <c r="C24" s="16">
        <v>32</v>
      </c>
      <c r="D24" s="17">
        <f>Reference!B166</f>
        <v>5018.8847999999998</v>
      </c>
      <c r="E24" s="18">
        <f>Reference!C166</f>
        <v>37.444200000000002</v>
      </c>
      <c r="F24" s="18">
        <f>Reference!D166</f>
        <v>42.449399999999997</v>
      </c>
      <c r="G24" s="18">
        <f>Reference!E166</f>
        <v>42.798099999999998</v>
      </c>
      <c r="H24" s="18">
        <f>Reference!F166</f>
        <v>254168.375</v>
      </c>
      <c r="I24" s="18">
        <f>Reference!G166</f>
        <v>35.725999999999999</v>
      </c>
      <c r="J24" s="19">
        <f t="shared" si="5"/>
        <v>70.602326388888883</v>
      </c>
      <c r="L24" s="17">
        <f>Test!B166</f>
        <v>4957.2928000000002</v>
      </c>
      <c r="M24" s="18">
        <f>Test!C166</f>
        <v>37.447800000000001</v>
      </c>
      <c r="N24" s="18">
        <f>Test!D166</f>
        <v>42.489600000000003</v>
      </c>
      <c r="O24" s="18">
        <f>Test!E166</f>
        <v>42.84</v>
      </c>
      <c r="P24" s="18">
        <f>Test!F166</f>
        <v>259810.234</v>
      </c>
      <c r="Q24" s="18">
        <f>Test!G166</f>
        <v>34.948999999999998</v>
      </c>
      <c r="R24" s="19">
        <f t="shared" si="6"/>
        <v>72.169509444444444</v>
      </c>
      <c r="S24" s="17">
        <f t="shared" si="3"/>
        <v>1.0221973288376258</v>
      </c>
      <c r="T24" s="18">
        <f t="shared" si="4"/>
        <v>0.97825113362816996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2549.04</v>
      </c>
      <c r="E25" s="18">
        <f>Reference!C167</f>
        <v>35.748100000000001</v>
      </c>
      <c r="F25" s="18">
        <f>Reference!D167</f>
        <v>41.099499999999999</v>
      </c>
      <c r="G25" s="18">
        <f>Reference!E167</f>
        <v>40.961100000000002</v>
      </c>
      <c r="H25" s="18">
        <f>Reference!F167</f>
        <v>159870.25</v>
      </c>
      <c r="I25" s="18">
        <f>Reference!G167</f>
        <v>28.126999999999999</v>
      </c>
      <c r="J25" s="19">
        <f t="shared" si="5"/>
        <v>44.408402777777781</v>
      </c>
      <c r="L25" s="17">
        <f>Test!B167</f>
        <v>2519.8591999999999</v>
      </c>
      <c r="M25" s="18">
        <f>Test!C167</f>
        <v>35.746899999999997</v>
      </c>
      <c r="N25" s="18">
        <f>Test!D167</f>
        <v>41.144399999999997</v>
      </c>
      <c r="O25" s="18">
        <f>Test!E167</f>
        <v>41.003399999999999</v>
      </c>
      <c r="P25" s="18">
        <f>Test!F167</f>
        <v>154213.79699999999</v>
      </c>
      <c r="Q25" s="18">
        <f>Test!G167</f>
        <v>29.157</v>
      </c>
      <c r="R25" s="19">
        <f t="shared" si="6"/>
        <v>42.83716583333333</v>
      </c>
      <c r="S25" s="17">
        <f t="shared" si="3"/>
        <v>0.96461847654582378</v>
      </c>
      <c r="T25" s="18">
        <f t="shared" si="4"/>
        <v>1.0366196181604863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1261.7248</v>
      </c>
      <c r="E26" s="23">
        <f>Reference!C168</f>
        <v>33.642600000000002</v>
      </c>
      <c r="F26" s="23">
        <f>Reference!D168</f>
        <v>39.703899999999997</v>
      </c>
      <c r="G26" s="23">
        <f>Reference!E168</f>
        <v>39.063800000000001</v>
      </c>
      <c r="H26" s="23">
        <f>Reference!F168</f>
        <v>97837.758000000002</v>
      </c>
      <c r="I26" s="23">
        <f>Reference!G168</f>
        <v>23.221</v>
      </c>
      <c r="J26" s="24">
        <f t="shared" si="5"/>
        <v>27.177154999999999</v>
      </c>
      <c r="L26" s="22">
        <f>Test!B168</f>
        <v>1248.1472000000001</v>
      </c>
      <c r="M26" s="23">
        <f>Test!C168</f>
        <v>33.648800000000001</v>
      </c>
      <c r="N26" s="23">
        <f>Test!D168</f>
        <v>39.712600000000002</v>
      </c>
      <c r="O26" s="23">
        <f>Test!E168</f>
        <v>39.100499999999997</v>
      </c>
      <c r="P26" s="23">
        <f>Test!F168</f>
        <v>87911.672000000006</v>
      </c>
      <c r="Q26" s="23">
        <f>Test!G168</f>
        <v>23.818000000000001</v>
      </c>
      <c r="R26" s="24">
        <f t="shared" si="6"/>
        <v>24.419908888888891</v>
      </c>
      <c r="S26" s="17">
        <f t="shared" si="3"/>
        <v>0.89854544704509687</v>
      </c>
      <c r="T26" s="18">
        <f t="shared" si="4"/>
        <v>1.0257094871021921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6644.1504000000004</v>
      </c>
      <c r="E27" s="13">
        <f>Reference!C169</f>
        <v>39.774299999999997</v>
      </c>
      <c r="F27" s="13">
        <f>Reference!D169</f>
        <v>43.422400000000003</v>
      </c>
      <c r="G27" s="13">
        <f>Reference!E169</f>
        <v>44.266599999999997</v>
      </c>
      <c r="H27" s="13">
        <f>Reference!F169</f>
        <v>366997.625</v>
      </c>
      <c r="I27" s="13">
        <f>Reference!G169</f>
        <v>43.045999999999999</v>
      </c>
      <c r="J27" s="14">
        <f>H27/3600</f>
        <v>101.94378472222222</v>
      </c>
      <c r="L27" s="12">
        <f>Test!B169</f>
        <v>6598.5568000000003</v>
      </c>
      <c r="M27" s="13">
        <f>Test!C169</f>
        <v>39.776800000000001</v>
      </c>
      <c r="N27" s="13">
        <f>Test!D169</f>
        <v>43.434199999999997</v>
      </c>
      <c r="O27" s="13">
        <f>Test!E169</f>
        <v>44.283099999999997</v>
      </c>
      <c r="P27" s="13">
        <f>Test!F169</f>
        <v>375841.68800000002</v>
      </c>
      <c r="Q27" s="13">
        <f>Test!G169</f>
        <v>42.509</v>
      </c>
      <c r="R27" s="14">
        <f>P27/3600</f>
        <v>104.40046888888889</v>
      </c>
      <c r="S27" s="17">
        <f t="shared" ref="S27:T46" si="7">P27/H27</f>
        <v>1.0240984202554444</v>
      </c>
      <c r="T27" s="18">
        <f t="shared" si="7"/>
        <v>0.98752497328439348</v>
      </c>
      <c r="U27" s="91"/>
      <c r="V27" s="37">
        <f>bdrate($D27:$D30,E27:E30,$L27:$L30,M27:M30)</f>
        <v>-1.1304082750276501E-2</v>
      </c>
      <c r="W27" s="42">
        <f>bdrate($D27:$D30,F27:F30,$L27:$L30,N27:N30)</f>
        <v>-1.7195670470039226E-2</v>
      </c>
      <c r="X27" s="43">
        <f>bdrate($D27:$D30,G27:G30,$L27:$L30,O27:O30)</f>
        <v>-2.3223855957353434E-2</v>
      </c>
      <c r="Y27" s="37">
        <f>bdrateOld($D27:$D30,E27:E30,$L27:$L30,M27:M30)</f>
        <v>-1.1334189663847027E-2</v>
      </c>
      <c r="Z27" s="42">
        <f>bdrateOld($D27:$D30,F27:F30,$L27:$L30,N27:N30)</f>
        <v>-1.6941050197276653E-2</v>
      </c>
      <c r="AA27" s="43">
        <f>bdrateOld($D27:$D30,G27:G30,$L27:$L30,O27:O30)</f>
        <v>-2.3146487142041705E-2</v>
      </c>
    </row>
    <row r="28" spans="1:27" x14ac:dyDescent="0.2">
      <c r="A28" s="16"/>
      <c r="B28" s="85"/>
      <c r="C28" s="16">
        <v>48</v>
      </c>
      <c r="D28" s="17">
        <f>Reference!B170</f>
        <v>3181.5167999999999</v>
      </c>
      <c r="E28" s="18">
        <f>Reference!C170</f>
        <v>38.471899999999998</v>
      </c>
      <c r="F28" s="18">
        <f>Reference!D170</f>
        <v>42.487699999999997</v>
      </c>
      <c r="G28" s="18">
        <f>Reference!E170</f>
        <v>43.32</v>
      </c>
      <c r="H28" s="18">
        <f>Reference!F170</f>
        <v>218694.71900000001</v>
      </c>
      <c r="I28" s="18">
        <f>Reference!G170</f>
        <v>34.145000000000003</v>
      </c>
      <c r="J28" s="19">
        <f t="shared" ref="J28:J46" si="8">H28/3600</f>
        <v>60.748533055555562</v>
      </c>
      <c r="L28" s="17">
        <f>Test!B170</f>
        <v>3152.8496</v>
      </c>
      <c r="M28" s="18">
        <f>Test!C170</f>
        <v>38.475299999999997</v>
      </c>
      <c r="N28" s="18">
        <f>Test!D170</f>
        <v>42.505800000000001</v>
      </c>
      <c r="O28" s="18">
        <f>Test!E170</f>
        <v>43.343800000000002</v>
      </c>
      <c r="P28" s="18">
        <f>Test!F170</f>
        <v>214265.625</v>
      </c>
      <c r="Q28" s="18">
        <f>Test!G170</f>
        <v>34.649000000000001</v>
      </c>
      <c r="R28" s="19">
        <f t="shared" ref="R28:R46" si="9">P28/3600</f>
        <v>59.518229166666664</v>
      </c>
      <c r="S28" s="17">
        <f t="shared" si="7"/>
        <v>0.97974759509396292</v>
      </c>
      <c r="T28" s="18">
        <f t="shared" si="7"/>
        <v>1.0147605798799237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1535.7791999999999</v>
      </c>
      <c r="E29" s="18">
        <f>Reference!C171</f>
        <v>36.651400000000002</v>
      </c>
      <c r="F29" s="18">
        <f>Reference!D171</f>
        <v>41.255600000000001</v>
      </c>
      <c r="G29" s="18">
        <f>Reference!E171</f>
        <v>41.9529</v>
      </c>
      <c r="H29" s="18">
        <f>Reference!F171</f>
        <v>132457.54699999999</v>
      </c>
      <c r="I29" s="18">
        <f>Reference!G171</f>
        <v>28.545000000000002</v>
      </c>
      <c r="J29" s="19">
        <f t="shared" si="8"/>
        <v>36.793763055555551</v>
      </c>
      <c r="L29" s="17">
        <f>Test!B171</f>
        <v>1518.8527999999999</v>
      </c>
      <c r="M29" s="18">
        <f>Test!C171</f>
        <v>36.656500000000001</v>
      </c>
      <c r="N29" s="18">
        <f>Test!D171</f>
        <v>41.2684</v>
      </c>
      <c r="O29" s="18">
        <f>Test!E171</f>
        <v>41.975200000000001</v>
      </c>
      <c r="P29" s="18">
        <f>Test!F171</f>
        <v>121111.17200000001</v>
      </c>
      <c r="Q29" s="18">
        <f>Test!G171</f>
        <v>29.666</v>
      </c>
      <c r="R29" s="19">
        <f t="shared" si="9"/>
        <v>33.641992222222221</v>
      </c>
      <c r="S29" s="17">
        <f t="shared" si="7"/>
        <v>0.91433953551925595</v>
      </c>
      <c r="T29" s="18">
        <f t="shared" si="7"/>
        <v>1.0392713259765283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717.63040000000001</v>
      </c>
      <c r="E30" s="23">
        <f>Reference!C172</f>
        <v>34.3568</v>
      </c>
      <c r="F30" s="23">
        <f>Reference!D172</f>
        <v>40.138599999999997</v>
      </c>
      <c r="G30" s="23">
        <f>Reference!E172</f>
        <v>40.595799999999997</v>
      </c>
      <c r="H30" s="23">
        <f>Reference!F172</f>
        <v>76378.241999999998</v>
      </c>
      <c r="I30" s="23">
        <f>Reference!G172</f>
        <v>23.655000000000001</v>
      </c>
      <c r="J30" s="24">
        <f t="shared" si="8"/>
        <v>21.216178333333332</v>
      </c>
      <c r="L30" s="22">
        <f>Test!B172</f>
        <v>710.59519999999998</v>
      </c>
      <c r="M30" s="23">
        <f>Test!C172</f>
        <v>34.356000000000002</v>
      </c>
      <c r="N30" s="23">
        <f>Test!D172</f>
        <v>40.125999999999998</v>
      </c>
      <c r="O30" s="23">
        <f>Test!E172</f>
        <v>40.621200000000002</v>
      </c>
      <c r="P30" s="23">
        <f>Test!F172</f>
        <v>65716.968999999997</v>
      </c>
      <c r="Q30" s="23">
        <f>Test!G172</f>
        <v>24.305</v>
      </c>
      <c r="R30" s="24">
        <f t="shared" si="9"/>
        <v>18.254713611111111</v>
      </c>
      <c r="S30" s="17">
        <f t="shared" si="7"/>
        <v>0.86041478933228133</v>
      </c>
      <c r="T30" s="18">
        <f t="shared" si="7"/>
        <v>1.0274783343901923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7145.4255999999996</v>
      </c>
      <c r="E31" s="13">
        <f>Reference!C173</f>
        <v>43.278500000000001</v>
      </c>
      <c r="F31" s="13">
        <f>Reference!D173</f>
        <v>46.049199999999999</v>
      </c>
      <c r="G31" s="13">
        <f>Reference!E173</f>
        <v>46.743600000000001</v>
      </c>
      <c r="H31" s="13">
        <f>Reference!F173</f>
        <v>316654.875</v>
      </c>
      <c r="I31" s="13">
        <f>Reference!G173</f>
        <v>43.847999999999999</v>
      </c>
      <c r="J31" s="14">
        <f t="shared" si="8"/>
        <v>87.959687500000001</v>
      </c>
      <c r="L31" s="12">
        <f>Test!B173</f>
        <v>7065.1264000000001</v>
      </c>
      <c r="M31" s="13">
        <f>Test!C173</f>
        <v>43.286999999999999</v>
      </c>
      <c r="N31" s="13">
        <f>Test!D173</f>
        <v>46.082700000000003</v>
      </c>
      <c r="O31" s="13">
        <f>Test!E173</f>
        <v>46.796100000000003</v>
      </c>
      <c r="P31" s="13">
        <f>Test!F173</f>
        <v>310476.59399999998</v>
      </c>
      <c r="Q31" s="13">
        <f>Test!G173</f>
        <v>43.143000000000001</v>
      </c>
      <c r="R31" s="14">
        <f t="shared" si="9"/>
        <v>86.243498333333335</v>
      </c>
      <c r="S31" s="17">
        <f t="shared" si="7"/>
        <v>0.98048891241608072</v>
      </c>
      <c r="T31" s="18">
        <f t="shared" si="7"/>
        <v>0.9839217296113848</v>
      </c>
      <c r="U31" s="91"/>
      <c r="V31" s="37">
        <f>bdrate($D31:$D34,E31:E34,$L31:$L34,M31:M34)</f>
        <v>-1.1476182035477511E-2</v>
      </c>
      <c r="W31" s="42">
        <f>bdrate($D31:$D34,F31:F34,$L31:$L34,N31:N34)</f>
        <v>-2.2512394028396776E-2</v>
      </c>
      <c r="X31" s="42">
        <f>bdrate($D31:$D34,G31:G34,$L31:$L34,O31:O34)</f>
        <v>-2.7600834234177696E-2</v>
      </c>
      <c r="Y31" s="40">
        <f>bdrateOld($D31:$D34,E31:E34,$L31:$L34,M31:M34)</f>
        <v>-1.1367220514913123E-2</v>
      </c>
      <c r="Z31" s="44">
        <f>bdrateOld($D31:$D34,F31:F34,$L31:$L34,N31:N34)</f>
        <v>-2.2488158598685026E-2</v>
      </c>
      <c r="AA31" s="45">
        <f>bdrateOld($D31:$D34,G31:G34,$L31:$L34,O31:O34)</f>
        <v>-2.7549780136780555E-2</v>
      </c>
    </row>
    <row r="32" spans="1:27" x14ac:dyDescent="0.2">
      <c r="A32" s="16"/>
      <c r="B32" s="85"/>
      <c r="C32" s="16">
        <v>48</v>
      </c>
      <c r="D32" s="17">
        <f>Reference!B174</f>
        <v>4351.9279999999999</v>
      </c>
      <c r="E32" s="18">
        <f>Reference!C174</f>
        <v>40.9574</v>
      </c>
      <c r="F32" s="18">
        <f>Reference!D174</f>
        <v>44.533799999999999</v>
      </c>
      <c r="G32" s="18">
        <f>Reference!E174</f>
        <v>45.039200000000001</v>
      </c>
      <c r="H32" s="18">
        <f>Reference!F174</f>
        <v>233044.25</v>
      </c>
      <c r="I32" s="18">
        <f>Reference!G174</f>
        <v>36.573</v>
      </c>
      <c r="J32" s="19">
        <f t="shared" si="8"/>
        <v>64.734513888888884</v>
      </c>
      <c r="L32" s="17">
        <f>Test!B174</f>
        <v>4299.9183999999996</v>
      </c>
      <c r="M32" s="18">
        <f>Test!C174</f>
        <v>40.9696</v>
      </c>
      <c r="N32" s="18">
        <f>Test!D174</f>
        <v>44.570700000000002</v>
      </c>
      <c r="O32" s="18">
        <f>Test!E174</f>
        <v>45.102800000000002</v>
      </c>
      <c r="P32" s="18">
        <f>Test!F174</f>
        <v>217772.71900000001</v>
      </c>
      <c r="Q32" s="18">
        <f>Test!G174</f>
        <v>37.819000000000003</v>
      </c>
      <c r="R32" s="19">
        <f t="shared" si="9"/>
        <v>60.492421944444445</v>
      </c>
      <c r="S32" s="17">
        <f t="shared" si="7"/>
        <v>0.93446939368810866</v>
      </c>
      <c r="T32" s="18">
        <f t="shared" si="7"/>
        <v>1.0340688486041616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2396.4704000000002</v>
      </c>
      <c r="E33" s="18">
        <f>Reference!C175</f>
        <v>38.168100000000003</v>
      </c>
      <c r="F33" s="18">
        <f>Reference!D175</f>
        <v>42.900199999999998</v>
      </c>
      <c r="G33" s="18">
        <f>Reference!E175</f>
        <v>43.191099999999999</v>
      </c>
      <c r="H33" s="18">
        <f>Reference!F175</f>
        <v>157168.28099999999</v>
      </c>
      <c r="I33" s="18">
        <f>Reference!G175</f>
        <v>30.259</v>
      </c>
      <c r="J33" s="19">
        <f t="shared" si="8"/>
        <v>43.657855833333329</v>
      </c>
      <c r="L33" s="17">
        <f>Test!B175</f>
        <v>2372.4416000000001</v>
      </c>
      <c r="M33" s="18">
        <f>Test!C175</f>
        <v>38.164700000000003</v>
      </c>
      <c r="N33" s="18">
        <f>Test!D175</f>
        <v>42.932000000000002</v>
      </c>
      <c r="O33" s="18">
        <f>Test!E175</f>
        <v>43.236199999999997</v>
      </c>
      <c r="P33" s="18">
        <f>Test!F175</f>
        <v>140581.92199999999</v>
      </c>
      <c r="Q33" s="18">
        <f>Test!G175</f>
        <v>32.24</v>
      </c>
      <c r="R33" s="19">
        <f t="shared" si="9"/>
        <v>39.050533888888886</v>
      </c>
      <c r="S33" s="17">
        <f t="shared" si="7"/>
        <v>0.89446751663587898</v>
      </c>
      <c r="T33" s="18">
        <f t="shared" si="7"/>
        <v>1.0654681251858951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1244.1664000000001</v>
      </c>
      <c r="E34" s="23">
        <f>Reference!C176</f>
        <v>35.209299999999999</v>
      </c>
      <c r="F34" s="23">
        <f>Reference!D176</f>
        <v>41.417999999999999</v>
      </c>
      <c r="G34" s="23">
        <f>Reference!E176</f>
        <v>41.397500000000001</v>
      </c>
      <c r="H34" s="23">
        <f>Reference!F176</f>
        <v>100078.977</v>
      </c>
      <c r="I34" s="23">
        <f>Reference!G176</f>
        <v>26.018000000000001</v>
      </c>
      <c r="J34" s="24">
        <f t="shared" si="8"/>
        <v>27.799715833333334</v>
      </c>
      <c r="L34" s="22">
        <f>Test!B176</f>
        <v>1232.8112000000001</v>
      </c>
      <c r="M34" s="23">
        <f>Test!C176</f>
        <v>35.21</v>
      </c>
      <c r="N34" s="23">
        <f>Test!D176</f>
        <v>41.435400000000001</v>
      </c>
      <c r="O34" s="23">
        <f>Test!E176</f>
        <v>41.444200000000002</v>
      </c>
      <c r="P34" s="23">
        <f>Test!F176</f>
        <v>83790.804999999993</v>
      </c>
      <c r="Q34" s="23">
        <f>Test!G176</f>
        <v>26.445</v>
      </c>
      <c r="R34" s="24">
        <f t="shared" si="9"/>
        <v>23.275223611111109</v>
      </c>
      <c r="S34" s="17">
        <f t="shared" si="7"/>
        <v>0.83724681758087904</v>
      </c>
      <c r="T34" s="18">
        <f t="shared" si="7"/>
        <v>1.0164117149665617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4885.3311999999996</v>
      </c>
      <c r="E35" s="13">
        <f>Reference!C177</f>
        <v>38.352800000000002</v>
      </c>
      <c r="F35" s="13">
        <f>Reference!D177</f>
        <v>44.962499999999999</v>
      </c>
      <c r="G35" s="13">
        <f>Reference!E177</f>
        <v>45.268900000000002</v>
      </c>
      <c r="H35" s="13">
        <f>Reference!F177</f>
        <v>201654.266</v>
      </c>
      <c r="I35" s="13">
        <f>Reference!G177</f>
        <v>17.945</v>
      </c>
      <c r="J35" s="14">
        <f t="shared" si="8"/>
        <v>56.015073888888892</v>
      </c>
      <c r="L35" s="12">
        <f>Test!B177</f>
        <v>4887.5824000000002</v>
      </c>
      <c r="M35" s="13">
        <f>Test!C177</f>
        <v>38.368699999999997</v>
      </c>
      <c r="N35" s="13">
        <f>Test!D177</f>
        <v>44.987000000000002</v>
      </c>
      <c r="O35" s="13">
        <f>Test!E177</f>
        <v>45.274900000000002</v>
      </c>
      <c r="P35" s="13">
        <f>Test!F177</f>
        <v>219870.016</v>
      </c>
      <c r="Q35" s="13">
        <f>Test!G177</f>
        <v>18.89</v>
      </c>
      <c r="R35" s="14">
        <f t="shared" si="9"/>
        <v>61.075004444444446</v>
      </c>
      <c r="S35" s="12">
        <f t="shared" si="7"/>
        <v>1.0903315876292943</v>
      </c>
      <c r="T35" s="13">
        <f t="shared" si="7"/>
        <v>1.0526609083310114</v>
      </c>
      <c r="U35" s="90"/>
      <c r="V35" s="37">
        <f>bdrate($D35:$D38,E35:E38,$L35:$L38,M35:M38)</f>
        <v>-1.7718928508158704E-2</v>
      </c>
      <c r="W35" s="42">
        <f>bdrate($D35:$D38,F35:F38,$L35:$L38,N35:N38)</f>
        <v>-9.9357170516600757E-3</v>
      </c>
      <c r="X35" s="42">
        <f>bdrate($D35:$D38,G35:G38,$L35:$L38,O35:O38)</f>
        <v>-2.2647975956336275E-2</v>
      </c>
      <c r="Y35" s="40">
        <f>bdrateOld($D35:$D38,E35:E38,$L35:$L38,M35:M38)</f>
        <v>-1.7755191095786382E-2</v>
      </c>
      <c r="Z35" s="44">
        <f>bdrateOld($D35:$D38,F35:F38,$L35:$L38,N35:N38)</f>
        <v>-9.6506496145806198E-3</v>
      </c>
      <c r="AA35" s="45">
        <f>bdrateOld($D35:$D38,G35:G38,$L35:$L38,O35:O38)</f>
        <v>-2.262320565036724E-2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1723.4512</v>
      </c>
      <c r="E36" s="18">
        <f>Reference!C178</f>
        <v>36.355400000000003</v>
      </c>
      <c r="F36" s="18">
        <f>Reference!D178</f>
        <v>43.760199999999998</v>
      </c>
      <c r="G36" s="18">
        <f>Reference!E178</f>
        <v>44.055799999999998</v>
      </c>
      <c r="H36" s="18">
        <f>Reference!F178</f>
        <v>106111.375</v>
      </c>
      <c r="I36" s="18">
        <f>Reference!G178</f>
        <v>13.706</v>
      </c>
      <c r="J36" s="19">
        <f t="shared" si="8"/>
        <v>29.475381944444443</v>
      </c>
      <c r="L36" s="17">
        <f>Test!B178</f>
        <v>1709.4656</v>
      </c>
      <c r="M36" s="18">
        <f>Test!C178</f>
        <v>36.369900000000001</v>
      </c>
      <c r="N36" s="18">
        <f>Test!D178</f>
        <v>43.770099999999999</v>
      </c>
      <c r="O36" s="18">
        <f>Test!E178</f>
        <v>44.099400000000003</v>
      </c>
      <c r="P36" s="18">
        <f>Test!F178</f>
        <v>109013.344</v>
      </c>
      <c r="Q36" s="18">
        <f>Test!G178</f>
        <v>13.965999999999999</v>
      </c>
      <c r="R36" s="19">
        <f t="shared" si="9"/>
        <v>30.281484444444445</v>
      </c>
      <c r="S36" s="17">
        <f t="shared" si="7"/>
        <v>1.0273483309400147</v>
      </c>
      <c r="T36" s="18">
        <f t="shared" si="7"/>
        <v>1.018969794250693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682.66399999999999</v>
      </c>
      <c r="E37" s="18">
        <f>Reference!C179</f>
        <v>33.906500000000001</v>
      </c>
      <c r="F37" s="18">
        <f>Reference!D179</f>
        <v>42.172800000000002</v>
      </c>
      <c r="G37" s="18">
        <f>Reference!E179</f>
        <v>42.496200000000002</v>
      </c>
      <c r="H37" s="18">
        <f>Reference!F179</f>
        <v>62413.285000000003</v>
      </c>
      <c r="I37" s="18">
        <f>Reference!G179</f>
        <v>10.865</v>
      </c>
      <c r="J37" s="19">
        <f t="shared" si="8"/>
        <v>17.33702361111111</v>
      </c>
      <c r="L37" s="17">
        <f>Test!B179</f>
        <v>672.23519999999996</v>
      </c>
      <c r="M37" s="18">
        <f>Test!C179</f>
        <v>33.919600000000003</v>
      </c>
      <c r="N37" s="18">
        <f>Test!D179</f>
        <v>42.164200000000001</v>
      </c>
      <c r="O37" s="18">
        <f>Test!E179</f>
        <v>42.492199999999997</v>
      </c>
      <c r="P37" s="18">
        <f>Test!F179</f>
        <v>59925.851999999999</v>
      </c>
      <c r="Q37" s="18">
        <f>Test!G179</f>
        <v>10.853</v>
      </c>
      <c r="R37" s="19">
        <f t="shared" si="9"/>
        <v>16.646069999999998</v>
      </c>
      <c r="S37" s="17">
        <f t="shared" si="7"/>
        <v>0.96014577665636403</v>
      </c>
      <c r="T37" s="18">
        <f t="shared" si="7"/>
        <v>0.99889553612517257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285.95839999999998</v>
      </c>
      <c r="E38" s="23">
        <f>Reference!C180</f>
        <v>30.864999999999998</v>
      </c>
      <c r="F38" s="23">
        <f>Reference!D180</f>
        <v>40.8994</v>
      </c>
      <c r="G38" s="23">
        <f>Reference!E180</f>
        <v>41.334600000000002</v>
      </c>
      <c r="H38" s="23">
        <f>Reference!F180</f>
        <v>37815.883000000002</v>
      </c>
      <c r="I38" s="23">
        <f>Reference!G180</f>
        <v>8.7029999999999994</v>
      </c>
      <c r="J38" s="24">
        <f t="shared" si="8"/>
        <v>10.504411944444445</v>
      </c>
      <c r="L38" s="22">
        <f>Test!B180</f>
        <v>280.84320000000002</v>
      </c>
      <c r="M38" s="23">
        <f>Test!C180</f>
        <v>30.890899999999998</v>
      </c>
      <c r="N38" s="23">
        <f>Test!D180</f>
        <v>40.843000000000004</v>
      </c>
      <c r="O38" s="23">
        <f>Test!E180</f>
        <v>41.336500000000001</v>
      </c>
      <c r="P38" s="23">
        <f>Test!F180</f>
        <v>34148.288999999997</v>
      </c>
      <c r="Q38" s="23">
        <f>Test!G180</f>
        <v>8.7200000000000006</v>
      </c>
      <c r="R38" s="24">
        <f t="shared" si="9"/>
        <v>9.4856358333333333</v>
      </c>
      <c r="S38" s="17">
        <f t="shared" si="7"/>
        <v>0.90301445559264071</v>
      </c>
      <c r="T38" s="18">
        <f t="shared" si="7"/>
        <v>1.0019533494197406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4030.7728000000002</v>
      </c>
      <c r="E39" s="13">
        <f>Reference!C181</f>
        <v>40.458100000000002</v>
      </c>
      <c r="F39" s="13">
        <f>Reference!D181</f>
        <v>45.112299999999998</v>
      </c>
      <c r="G39" s="13">
        <f>Reference!E181</f>
        <v>45.889299999999999</v>
      </c>
      <c r="H39" s="13">
        <f>Reference!F181</f>
        <v>182011.21900000001</v>
      </c>
      <c r="I39" s="13">
        <f>Reference!G181</f>
        <v>20.353999999999999</v>
      </c>
      <c r="J39" s="14">
        <f t="shared" si="8"/>
        <v>50.558671944444448</v>
      </c>
      <c r="L39" s="12">
        <f>Test!B181</f>
        <v>3998.0383999999999</v>
      </c>
      <c r="M39" s="13">
        <f>Test!C181</f>
        <v>40.4604</v>
      </c>
      <c r="N39" s="13">
        <f>Test!D181</f>
        <v>45.130200000000002</v>
      </c>
      <c r="O39" s="13">
        <f>Test!E181</f>
        <v>45.914900000000003</v>
      </c>
      <c r="P39" s="13">
        <f>Test!F181</f>
        <v>192065.359</v>
      </c>
      <c r="Q39" s="13">
        <f>Test!G181</f>
        <v>20.707999999999998</v>
      </c>
      <c r="R39" s="14">
        <f t="shared" si="9"/>
        <v>53.351488611111108</v>
      </c>
      <c r="S39" s="17">
        <f t="shared" si="7"/>
        <v>1.055239122375198</v>
      </c>
      <c r="T39" s="18">
        <f t="shared" si="7"/>
        <v>1.017392158789427</v>
      </c>
      <c r="U39" s="91"/>
      <c r="V39" s="37">
        <f>bdrate($D39:$D42,E39:E42,$L39:$L42,M39:M42)</f>
        <v>-1.258593804822461E-2</v>
      </c>
      <c r="W39" s="42">
        <f>bdrate($D39:$D42,F39:F42,$L39:$L42,N39:N42)</f>
        <v>-1.3775630501492997E-2</v>
      </c>
      <c r="X39" s="42">
        <f>bdrate($D39:$D42,G39:G42,$L39:$L42,O39:O42)</f>
        <v>-9.6932534345598453E-3</v>
      </c>
      <c r="Y39" s="40">
        <f>bdrateOld($D39:$D42,E39:E42,$L39:$L42,M39:M42)</f>
        <v>-1.2468135404723468E-2</v>
      </c>
      <c r="Z39" s="44">
        <f>bdrateOld($D39:$D42,F39:F42,$L39:$L42,N39:N42)</f>
        <v>-1.3349069844650785E-2</v>
      </c>
      <c r="AA39" s="45">
        <f>bdrateOld($D39:$D42,G39:G42,$L39:$L42,O39:O42)</f>
        <v>-9.7211859809033241E-3</v>
      </c>
    </row>
    <row r="40" spans="1:27" x14ac:dyDescent="0.2">
      <c r="A40" s="16"/>
      <c r="B40" s="85"/>
      <c r="C40" s="16">
        <v>32</v>
      </c>
      <c r="D40" s="17">
        <f>Reference!B182</f>
        <v>1855.5264</v>
      </c>
      <c r="E40" s="18">
        <f>Reference!C182</f>
        <v>38.818800000000003</v>
      </c>
      <c r="F40" s="18">
        <f>Reference!D182</f>
        <v>44.204300000000003</v>
      </c>
      <c r="G40" s="18">
        <f>Reference!E182</f>
        <v>44.316899999999997</v>
      </c>
      <c r="H40" s="18">
        <f>Reference!F182</f>
        <v>112401.57</v>
      </c>
      <c r="I40" s="18">
        <f>Reference!G182</f>
        <v>16.597000000000001</v>
      </c>
      <c r="J40" s="19">
        <f t="shared" si="8"/>
        <v>31.222658333333335</v>
      </c>
      <c r="L40" s="17">
        <f>Test!B182</f>
        <v>1834.3471999999999</v>
      </c>
      <c r="M40" s="18">
        <f>Test!C182</f>
        <v>38.825600000000001</v>
      </c>
      <c r="N40" s="18">
        <f>Test!D182</f>
        <v>44.215400000000002</v>
      </c>
      <c r="O40" s="18">
        <f>Test!E182</f>
        <v>44.326300000000003</v>
      </c>
      <c r="P40" s="18">
        <f>Test!F182</f>
        <v>111740.141</v>
      </c>
      <c r="Q40" s="18">
        <f>Test!G182</f>
        <v>16.901</v>
      </c>
      <c r="R40" s="19">
        <f t="shared" si="9"/>
        <v>31.038928055555555</v>
      </c>
      <c r="S40" s="17">
        <f t="shared" si="7"/>
        <v>0.99411548255064408</v>
      </c>
      <c r="T40" s="18">
        <f t="shared" si="7"/>
        <v>1.0183165632343194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889.69600000000003</v>
      </c>
      <c r="E41" s="18">
        <f>Reference!C183</f>
        <v>36.876800000000003</v>
      </c>
      <c r="F41" s="18">
        <f>Reference!D183</f>
        <v>43.127899999999997</v>
      </c>
      <c r="G41" s="18">
        <f>Reference!E183</f>
        <v>42.469200000000001</v>
      </c>
      <c r="H41" s="18">
        <f>Reference!F183</f>
        <v>66982.883000000002</v>
      </c>
      <c r="I41" s="18">
        <f>Reference!G183</f>
        <v>13.087</v>
      </c>
      <c r="J41" s="19">
        <f t="shared" si="8"/>
        <v>18.606356388888891</v>
      </c>
      <c r="L41" s="17">
        <f>Test!B183</f>
        <v>879.59199999999998</v>
      </c>
      <c r="M41" s="18">
        <f>Test!C183</f>
        <v>36.881</v>
      </c>
      <c r="N41" s="18">
        <f>Test!D183</f>
        <v>43.117800000000003</v>
      </c>
      <c r="O41" s="18">
        <f>Test!E183</f>
        <v>42.434800000000003</v>
      </c>
      <c r="P41" s="18">
        <f>Test!F183</f>
        <v>62557.559000000001</v>
      </c>
      <c r="Q41" s="18">
        <f>Test!G183</f>
        <v>13.422000000000001</v>
      </c>
      <c r="R41" s="19">
        <f t="shared" si="9"/>
        <v>17.377099722222223</v>
      </c>
      <c r="S41" s="17">
        <f t="shared" si="7"/>
        <v>0.93393350955049215</v>
      </c>
      <c r="T41" s="18">
        <f t="shared" si="7"/>
        <v>1.0255979216015894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417.58080000000001</v>
      </c>
      <c r="E42" s="23">
        <f>Reference!C184</f>
        <v>34.650199999999998</v>
      </c>
      <c r="F42" s="23">
        <f>Reference!D184</f>
        <v>41.7896</v>
      </c>
      <c r="G42" s="23">
        <f>Reference!E184</f>
        <v>40.514299999999999</v>
      </c>
      <c r="H42" s="23">
        <f>Reference!F184</f>
        <v>39834.800999999999</v>
      </c>
      <c r="I42" s="23">
        <f>Reference!G184</f>
        <v>9.9629999999999992</v>
      </c>
      <c r="J42" s="24">
        <f t="shared" si="8"/>
        <v>11.065222499999999</v>
      </c>
      <c r="L42" s="22">
        <f>Test!B184</f>
        <v>412.81279999999998</v>
      </c>
      <c r="M42" s="23">
        <f>Test!C184</f>
        <v>34.646999999999998</v>
      </c>
      <c r="N42" s="23">
        <f>Test!D184</f>
        <v>41.804200000000002</v>
      </c>
      <c r="O42" s="23">
        <f>Test!E184</f>
        <v>40.537500000000001</v>
      </c>
      <c r="P42" s="23">
        <f>Test!F184</f>
        <v>33568.226999999999</v>
      </c>
      <c r="Q42" s="23">
        <f>Test!G184</f>
        <v>10.464</v>
      </c>
      <c r="R42" s="24">
        <f t="shared" si="9"/>
        <v>9.3245074999999993</v>
      </c>
      <c r="S42" s="17">
        <f t="shared" si="7"/>
        <v>0.84268594689352161</v>
      </c>
      <c r="T42" s="18">
        <f t="shared" si="7"/>
        <v>1.0502860584161398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1003.5119999999999</v>
      </c>
      <c r="E43" s="13">
        <f>Reference!C185</f>
        <v>42.897599999999997</v>
      </c>
      <c r="F43" s="13">
        <f>Reference!D185</f>
        <v>46.480699999999999</v>
      </c>
      <c r="G43" s="13">
        <f>Reference!E185</f>
        <v>47.293100000000003</v>
      </c>
      <c r="H43" s="13">
        <f>Reference!F185</f>
        <v>71474.718999999997</v>
      </c>
      <c r="I43" s="13">
        <f>Reference!G185</f>
        <v>9.3789999999999996</v>
      </c>
      <c r="J43" s="14">
        <f t="shared" si="8"/>
        <v>19.854088611111109</v>
      </c>
      <c r="L43" s="12">
        <f>Test!B185</f>
        <v>988.52959999999996</v>
      </c>
      <c r="M43" s="13">
        <f>Test!C185</f>
        <v>42.904600000000002</v>
      </c>
      <c r="N43" s="13">
        <f>Test!D185</f>
        <v>46.4893</v>
      </c>
      <c r="O43" s="13">
        <f>Test!E185</f>
        <v>47.313699999999997</v>
      </c>
      <c r="P43" s="13">
        <f>Test!F185</f>
        <v>69940.797000000006</v>
      </c>
      <c r="Q43" s="13">
        <f>Test!G185</f>
        <v>9.5839999999999996</v>
      </c>
      <c r="R43" s="14">
        <f t="shared" si="9"/>
        <v>19.42799916666667</v>
      </c>
      <c r="S43" s="17">
        <f t="shared" si="7"/>
        <v>0.97853895725004536</v>
      </c>
      <c r="T43" s="18">
        <f t="shared" si="7"/>
        <v>1.0218573408678964</v>
      </c>
      <c r="U43" s="91"/>
      <c r="V43" s="37">
        <f>bdrate($D43:$D46,E43:E46,$L43:$L46,M43:M46)</f>
        <v>-1.8078005319432489E-2</v>
      </c>
      <c r="W43" s="42">
        <f>bdrate($D43:$D46,F43:F46,$L43:$L46,N43:N46)</f>
        <v>-1.4247371579418133E-2</v>
      </c>
      <c r="X43" s="42">
        <f>bdrate($D43:$D46,G43:G46,$L43:$L46,O43:O46)</f>
        <v>-7.5262425745517003E-3</v>
      </c>
      <c r="Y43" s="40">
        <f>bdrateOld($D43:$D46,E43:E46,$L43:$L46,M43:M46)</f>
        <v>-1.7723884262378586E-2</v>
      </c>
      <c r="Z43" s="44">
        <f>bdrateOld($D43:$D46,F43:F46,$L43:$L46,N43:N46)</f>
        <v>-1.2133427883730619E-2</v>
      </c>
      <c r="AA43" s="45">
        <f>bdrateOld($D43:$D46,G43:G46,$L43:$L46,O43:O46)</f>
        <v>-7.4239597069392094E-3</v>
      </c>
    </row>
    <row r="44" spans="1:27" x14ac:dyDescent="0.2">
      <c r="A44" s="16"/>
      <c r="B44" s="85"/>
      <c r="C44" s="16">
        <v>32</v>
      </c>
      <c r="D44" s="17">
        <f>Reference!B186</f>
        <v>516.13760000000002</v>
      </c>
      <c r="E44" s="18">
        <f>Reference!C186</f>
        <v>41.250599999999999</v>
      </c>
      <c r="F44" s="18">
        <f>Reference!D186</f>
        <v>45.516300000000001</v>
      </c>
      <c r="G44" s="18">
        <f>Reference!E186</f>
        <v>46.1751</v>
      </c>
      <c r="H44" s="18">
        <f>Reference!F186</f>
        <v>44715.555</v>
      </c>
      <c r="I44" s="18">
        <f>Reference!G186</f>
        <v>7.7560000000000002</v>
      </c>
      <c r="J44" s="19">
        <f t="shared" si="8"/>
        <v>12.420987500000001</v>
      </c>
      <c r="L44" s="17">
        <f>Test!B186</f>
        <v>508.7824</v>
      </c>
      <c r="M44" s="18">
        <f>Test!C186</f>
        <v>41.276499999999999</v>
      </c>
      <c r="N44" s="18">
        <f>Test!D186</f>
        <v>45.559600000000003</v>
      </c>
      <c r="O44" s="18">
        <f>Test!E186</f>
        <v>46.184399999999997</v>
      </c>
      <c r="P44" s="18">
        <f>Test!F186</f>
        <v>41244.391000000003</v>
      </c>
      <c r="Q44" s="18">
        <f>Test!G186</f>
        <v>8.1989999999999998</v>
      </c>
      <c r="R44" s="19">
        <f t="shared" si="9"/>
        <v>11.456775277777778</v>
      </c>
      <c r="S44" s="17">
        <f t="shared" si="7"/>
        <v>0.92237233776926175</v>
      </c>
      <c r="T44" s="18">
        <f t="shared" si="7"/>
        <v>1.0571170706549768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274.30720000000002</v>
      </c>
      <c r="E45" s="18">
        <f>Reference!C187</f>
        <v>39.056199999999997</v>
      </c>
      <c r="F45" s="18">
        <f>Reference!D187</f>
        <v>44.2273</v>
      </c>
      <c r="G45" s="18">
        <f>Reference!E187</f>
        <v>44.639099999999999</v>
      </c>
      <c r="H45" s="18">
        <f>Reference!F187</f>
        <v>28341.857</v>
      </c>
      <c r="I45" s="18">
        <f>Reference!G187</f>
        <v>6.484</v>
      </c>
      <c r="J45" s="19">
        <f t="shared" si="8"/>
        <v>7.8727380555555557</v>
      </c>
      <c r="L45" s="17">
        <f>Test!B187</f>
        <v>271.43200000000002</v>
      </c>
      <c r="M45" s="18">
        <f>Test!C187</f>
        <v>39.090000000000003</v>
      </c>
      <c r="N45" s="18">
        <f>Test!D187</f>
        <v>44.197600000000001</v>
      </c>
      <c r="O45" s="18">
        <f>Test!E187</f>
        <v>44.595300000000002</v>
      </c>
      <c r="P45" s="18">
        <f>Test!F187</f>
        <v>23884.822</v>
      </c>
      <c r="Q45" s="18">
        <f>Test!G187</f>
        <v>6.6849999999999996</v>
      </c>
      <c r="R45" s="19">
        <f t="shared" si="9"/>
        <v>6.6346727777777774</v>
      </c>
      <c r="S45" s="17">
        <f t="shared" si="7"/>
        <v>0.84274019165363789</v>
      </c>
      <c r="T45" s="18">
        <f t="shared" si="7"/>
        <v>1.0309993830968538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149.16480000000001</v>
      </c>
      <c r="E46" s="23">
        <f>Reference!C188</f>
        <v>36.285200000000003</v>
      </c>
      <c r="F46" s="23">
        <f>Reference!D188</f>
        <v>42.562899999999999</v>
      </c>
      <c r="G46" s="23">
        <f>Reference!E188</f>
        <v>42.844999999999999</v>
      </c>
      <c r="H46" s="23">
        <f>Reference!F188</f>
        <v>18583.116999999998</v>
      </c>
      <c r="I46" s="23">
        <f>Reference!G188</f>
        <v>5.76</v>
      </c>
      <c r="J46" s="24">
        <f t="shared" si="8"/>
        <v>5.1619769444444437</v>
      </c>
      <c r="L46" s="22">
        <f>Test!B188</f>
        <v>147.96</v>
      </c>
      <c r="M46" s="23">
        <f>Test!C188</f>
        <v>36.278399999999998</v>
      </c>
      <c r="N46" s="23">
        <f>Test!D188</f>
        <v>42.571199999999997</v>
      </c>
      <c r="O46" s="23">
        <f>Test!E188</f>
        <v>42.852800000000002</v>
      </c>
      <c r="P46" s="23">
        <f>Test!F188</f>
        <v>14273.574000000001</v>
      </c>
      <c r="Q46" s="23">
        <f>Test!G188</f>
        <v>6.0759999999999996</v>
      </c>
      <c r="R46" s="24">
        <f t="shared" si="9"/>
        <v>3.9648816666666669</v>
      </c>
      <c r="S46" s="17">
        <f t="shared" si="7"/>
        <v>0.76809364112597478</v>
      </c>
      <c r="T46" s="18">
        <f t="shared" si="7"/>
        <v>1.054861111111111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1388.1551999999999</v>
      </c>
      <c r="E47" s="13">
        <f>Reference!C189</f>
        <v>42.582099999999997</v>
      </c>
      <c r="F47" s="13">
        <f>Reference!D189</f>
        <v>48.012</v>
      </c>
      <c r="G47" s="13">
        <f>Reference!E189</f>
        <v>47.398800000000001</v>
      </c>
      <c r="H47" s="13">
        <f>Reference!F189</f>
        <v>75721.085999999996</v>
      </c>
      <c r="I47" s="13">
        <f>Reference!G189</f>
        <v>10.019</v>
      </c>
      <c r="J47" s="14">
        <f>H47/3600</f>
        <v>21.033635</v>
      </c>
      <c r="L47" s="12">
        <f>Test!B189</f>
        <v>1369.184</v>
      </c>
      <c r="M47" s="13">
        <f>Test!C189</f>
        <v>42.606299999999997</v>
      </c>
      <c r="N47" s="13">
        <f>Test!D189</f>
        <v>48.028700000000001</v>
      </c>
      <c r="O47" s="13">
        <f>Test!E189</f>
        <v>47.399299999999997</v>
      </c>
      <c r="P47" s="13">
        <f>Test!F189</f>
        <v>76945.391000000003</v>
      </c>
      <c r="Q47" s="13">
        <f>Test!G189</f>
        <v>10.619</v>
      </c>
      <c r="R47" s="14">
        <f>P47/3600</f>
        <v>21.373719722222223</v>
      </c>
      <c r="S47" s="17">
        <f t="shared" ref="S47:T62" si="10">P47/H47</f>
        <v>1.0161686138521575</v>
      </c>
      <c r="T47" s="18">
        <f t="shared" si="10"/>
        <v>1.0598862161892404</v>
      </c>
      <c r="U47" s="91"/>
      <c r="V47" s="37">
        <f>bdrate($D47:$D50,E47:E50,$L47:$L50,M47:M50)</f>
        <v>-3.3936197029682758E-2</v>
      </c>
      <c r="W47" s="42">
        <f>bdrate($D47:$D50,F47:F50,$L47:$L50,N47:N50)</f>
        <v>-3.4946375719421829E-2</v>
      </c>
      <c r="X47" s="43">
        <f>bdrate($D47:$D50,G47:G50,$L47:$L50,O47:O50)</f>
        <v>-2.7968133595253741E-2</v>
      </c>
      <c r="Y47" s="37">
        <f>bdrateOld($D47:$D50,E47:E50,$L47:$L50,M47:M50)</f>
        <v>-3.3763291114337401E-2</v>
      </c>
      <c r="Z47" s="42">
        <f>bdrateOld($D47:$D50,F47:F50,$L47:$L50,N47:N50)</f>
        <v>-3.5639968382901177E-2</v>
      </c>
      <c r="AA47" s="43">
        <f>bdrateOld($D47:$D50,G47:G50,$L47:$L50,O47:O50)</f>
        <v>-2.7412307034480499E-2</v>
      </c>
    </row>
    <row r="48" spans="1:27" x14ac:dyDescent="0.2">
      <c r="A48" s="16"/>
      <c r="B48" s="85"/>
      <c r="C48" s="16">
        <v>32</v>
      </c>
      <c r="D48" s="17">
        <f>Reference!B190</f>
        <v>693.32479999999998</v>
      </c>
      <c r="E48" s="18">
        <f>Reference!C190</f>
        <v>40.872100000000003</v>
      </c>
      <c r="F48" s="18">
        <f>Reference!D190</f>
        <v>47.189799999999998</v>
      </c>
      <c r="G48" s="18">
        <f>Reference!E190</f>
        <v>46.158299999999997</v>
      </c>
      <c r="H48" s="18">
        <f>Reference!F190</f>
        <v>47079.453000000001</v>
      </c>
      <c r="I48" s="18">
        <f>Reference!G190</f>
        <v>8.7439999999999998</v>
      </c>
      <c r="J48" s="19">
        <f t="shared" ref="J48:J70" si="11">H48/3600</f>
        <v>13.077625833333334</v>
      </c>
      <c r="L48" s="17">
        <f>Test!B190</f>
        <v>676.90239999999994</v>
      </c>
      <c r="M48" s="18">
        <f>Test!C190</f>
        <v>40.9101</v>
      </c>
      <c r="N48" s="18">
        <f>Test!D190</f>
        <v>47.203600000000002</v>
      </c>
      <c r="O48" s="18">
        <f>Test!E190</f>
        <v>46.173200000000001</v>
      </c>
      <c r="P48" s="18">
        <f>Test!F190</f>
        <v>44649.565999999999</v>
      </c>
      <c r="Q48" s="18">
        <f>Test!G190</f>
        <v>9.048</v>
      </c>
      <c r="R48" s="19">
        <f t="shared" ref="R48:R70" si="12">P48/3600</f>
        <v>12.402657222222222</v>
      </c>
      <c r="S48" s="17">
        <f t="shared" si="10"/>
        <v>0.94838752693239659</v>
      </c>
      <c r="T48" s="18">
        <f t="shared" si="10"/>
        <v>1.0347666971637695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370.67200000000003</v>
      </c>
      <c r="E49" s="18">
        <f>Reference!C191</f>
        <v>38.565600000000003</v>
      </c>
      <c r="F49" s="18">
        <f>Reference!D191</f>
        <v>46.0655</v>
      </c>
      <c r="G49" s="18">
        <f>Reference!E191</f>
        <v>44.548499999999997</v>
      </c>
      <c r="H49" s="18">
        <f>Reference!F191</f>
        <v>29899.518</v>
      </c>
      <c r="I49" s="18">
        <f>Reference!G191</f>
        <v>7.4550000000000001</v>
      </c>
      <c r="J49" s="19">
        <f t="shared" si="11"/>
        <v>8.3054216666666658</v>
      </c>
      <c r="L49" s="17">
        <f>Test!B191</f>
        <v>359.14080000000001</v>
      </c>
      <c r="M49" s="18">
        <f>Test!C191</f>
        <v>38.5944</v>
      </c>
      <c r="N49" s="18">
        <f>Test!D191</f>
        <v>46.064900000000002</v>
      </c>
      <c r="O49" s="18">
        <f>Test!E191</f>
        <v>44.511600000000001</v>
      </c>
      <c r="P49" s="18">
        <f>Test!F191</f>
        <v>26212.217000000001</v>
      </c>
      <c r="Q49" s="18">
        <f>Test!G191</f>
        <v>7.4420000000000002</v>
      </c>
      <c r="R49" s="19">
        <f t="shared" si="12"/>
        <v>7.2811713888888887</v>
      </c>
      <c r="S49" s="17">
        <f t="shared" si="10"/>
        <v>0.87667690830333789</v>
      </c>
      <c r="T49" s="18">
        <f t="shared" si="10"/>
        <v>0.99825620389000669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200.58879999999999</v>
      </c>
      <c r="E50" s="23">
        <f>Reference!C192</f>
        <v>35.493899999999996</v>
      </c>
      <c r="F50" s="23">
        <f>Reference!D192</f>
        <v>44.787799999999997</v>
      </c>
      <c r="G50" s="23">
        <f>Reference!E192</f>
        <v>42.302599999999998</v>
      </c>
      <c r="H50" s="23">
        <f>Reference!F192</f>
        <v>20164.300999999999</v>
      </c>
      <c r="I50" s="23">
        <f>Reference!G192</f>
        <v>6.117</v>
      </c>
      <c r="J50" s="24">
        <f t="shared" si="11"/>
        <v>5.601194722222222</v>
      </c>
      <c r="L50" s="22">
        <f>Test!B192</f>
        <v>196.32480000000001</v>
      </c>
      <c r="M50" s="23">
        <f>Test!C192</f>
        <v>35.512500000000003</v>
      </c>
      <c r="N50" s="23">
        <f>Test!D192</f>
        <v>44.866500000000002</v>
      </c>
      <c r="O50" s="23">
        <f>Test!E192</f>
        <v>42.4617</v>
      </c>
      <c r="P50" s="23">
        <f>Test!F192</f>
        <v>16337.614</v>
      </c>
      <c r="Q50" s="23">
        <f>Test!G192</f>
        <v>6.5170000000000003</v>
      </c>
      <c r="R50" s="24">
        <f t="shared" si="12"/>
        <v>4.5382261111111113</v>
      </c>
      <c r="S50" s="22">
        <f t="shared" si="10"/>
        <v>0.81022466387503345</v>
      </c>
      <c r="T50" s="23">
        <f t="shared" si="10"/>
        <v>1.0653915317966325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29102.060799999999</v>
      </c>
      <c r="E59" s="13">
        <f>Reference!C201</f>
        <v>40.463500000000003</v>
      </c>
      <c r="F59" s="13">
        <f>Reference!D201</f>
        <v>40.593899999999998</v>
      </c>
      <c r="G59" s="13">
        <f>Reference!E201</f>
        <v>40.745899999999999</v>
      </c>
      <c r="H59" s="13">
        <f>Reference!F201</f>
        <v>686298.5</v>
      </c>
      <c r="I59" s="13">
        <f>Reference!G201</f>
        <v>49.825000000000003</v>
      </c>
      <c r="J59" s="14">
        <f t="shared" si="11"/>
        <v>190.63847222222222</v>
      </c>
      <c r="L59" s="12">
        <f>Test!B201</f>
        <v>25990.963199999998</v>
      </c>
      <c r="M59" s="13">
        <f>Test!C201</f>
        <v>42.33</v>
      </c>
      <c r="N59" s="13">
        <f>Test!D201</f>
        <v>41.000399999999999</v>
      </c>
      <c r="O59" s="13">
        <f>Test!E201</f>
        <v>41.137</v>
      </c>
      <c r="P59" s="13">
        <f>Test!F201</f>
        <v>691092.81200000003</v>
      </c>
      <c r="Q59" s="13">
        <f>Test!G201</f>
        <v>48.826000000000001</v>
      </c>
      <c r="R59" s="14">
        <f t="shared" si="12"/>
        <v>191.97022555555557</v>
      </c>
      <c r="S59" s="12">
        <f t="shared" si="10"/>
        <v>1.0069857532837387</v>
      </c>
      <c r="T59" s="13">
        <f t="shared" si="10"/>
        <v>0.97994982438534872</v>
      </c>
      <c r="U59" s="90"/>
      <c r="V59" s="37">
        <f>bdrate($D59:$D62,E59:E62,$L59:$L62,M59:M62)</f>
        <v>-0.21510750423537484</v>
      </c>
      <c r="W59" s="42">
        <f>bdrate($D59:$D62,F59:F62,$L59:$L62,N59:N62)</f>
        <v>-0.14560595123646181</v>
      </c>
      <c r="X59" s="42">
        <f>bdrate($D59:$D62,G59:G62,$L59:$L62,O59:O62)</f>
        <v>-0.14712642347678784</v>
      </c>
      <c r="Y59" s="40">
        <f>bdrateOld($D59:$D62,E59:E62,$L59:$L62,M59:M62)</f>
        <v>-0.21545542054452171</v>
      </c>
      <c r="Z59" s="44">
        <f>bdrateOld($D59:$D62,F59:F62,$L59:$L62,N59:N62)</f>
        <v>-0.14560314581966838</v>
      </c>
      <c r="AA59" s="45">
        <f>bdrateOld($D59:$D62,G59:G62,$L59:$L62,O59:O62)</f>
        <v>-0.14704500068611825</v>
      </c>
    </row>
    <row r="60" spans="1:27" x14ac:dyDescent="0.2">
      <c r="A60" s="16"/>
      <c r="B60" s="85"/>
      <c r="C60" s="16">
        <v>32</v>
      </c>
      <c r="D60" s="17">
        <f>Reference!B202</f>
        <v>17247.0416</v>
      </c>
      <c r="E60" s="18">
        <f>Reference!C202</f>
        <v>37.591200000000001</v>
      </c>
      <c r="F60" s="18">
        <f>Reference!D202</f>
        <v>37.884700000000002</v>
      </c>
      <c r="G60" s="18">
        <f>Reference!E202</f>
        <v>38.014600000000002</v>
      </c>
      <c r="H60" s="18">
        <f>Reference!F202</f>
        <v>534971.18799999997</v>
      </c>
      <c r="I60" s="18">
        <f>Reference!G202</f>
        <v>43.21</v>
      </c>
      <c r="J60" s="19">
        <f t="shared" si="11"/>
        <v>148.60310777777778</v>
      </c>
      <c r="L60" s="17">
        <f>Test!B202</f>
        <v>15716.3056</v>
      </c>
      <c r="M60" s="18">
        <f>Test!C202</f>
        <v>38.855899999999998</v>
      </c>
      <c r="N60" s="18">
        <f>Test!D202</f>
        <v>38.237400000000001</v>
      </c>
      <c r="O60" s="18">
        <f>Test!E202</f>
        <v>38.371000000000002</v>
      </c>
      <c r="P60" s="18">
        <f>Test!F202</f>
        <v>523215.5</v>
      </c>
      <c r="Q60" s="18">
        <f>Test!G202</f>
        <v>41.866</v>
      </c>
      <c r="R60" s="19">
        <f t="shared" si="12"/>
        <v>145.33763888888888</v>
      </c>
      <c r="S60" s="17">
        <f t="shared" si="10"/>
        <v>0.97802556798628948</v>
      </c>
      <c r="T60" s="18">
        <f t="shared" si="10"/>
        <v>0.96889608886831746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9475.0671999999995</v>
      </c>
      <c r="E61" s="18">
        <f>Reference!C203</f>
        <v>34.220300000000002</v>
      </c>
      <c r="F61" s="18">
        <f>Reference!D203</f>
        <v>35.440800000000003</v>
      </c>
      <c r="G61" s="18">
        <f>Reference!E203</f>
        <v>35.583199999999998</v>
      </c>
      <c r="H61" s="18">
        <f>Reference!F203</f>
        <v>391734.40600000002</v>
      </c>
      <c r="I61" s="18">
        <f>Reference!G203</f>
        <v>37.36</v>
      </c>
      <c r="J61" s="19">
        <f t="shared" si="11"/>
        <v>108.81511277777778</v>
      </c>
      <c r="L61" s="17">
        <f>Test!B203</f>
        <v>8784.2160000000003</v>
      </c>
      <c r="M61" s="18">
        <f>Test!C203</f>
        <v>35.038400000000003</v>
      </c>
      <c r="N61" s="18">
        <f>Test!D203</f>
        <v>35.729100000000003</v>
      </c>
      <c r="O61" s="18">
        <f>Test!E203</f>
        <v>35.885100000000001</v>
      </c>
      <c r="P61" s="18">
        <f>Test!F203</f>
        <v>371242.21899999998</v>
      </c>
      <c r="Q61" s="18">
        <f>Test!G203</f>
        <v>36.673000000000002</v>
      </c>
      <c r="R61" s="19">
        <f t="shared" si="12"/>
        <v>103.12283861111111</v>
      </c>
      <c r="S61" s="17">
        <f t="shared" si="10"/>
        <v>0.94768856989293904</v>
      </c>
      <c r="T61" s="18">
        <f t="shared" si="10"/>
        <v>0.98161134903640268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4950.3104000000003</v>
      </c>
      <c r="E62" s="23">
        <f>Reference!C204</f>
        <v>30.606000000000002</v>
      </c>
      <c r="F62" s="23">
        <f>Reference!D204</f>
        <v>33.141599999999997</v>
      </c>
      <c r="G62" s="23">
        <f>Reference!E204</f>
        <v>33.352200000000003</v>
      </c>
      <c r="H62" s="23">
        <f>Reference!F204</f>
        <v>269496.28100000002</v>
      </c>
      <c r="I62" s="23">
        <f>Reference!G204</f>
        <v>31.835999999999999</v>
      </c>
      <c r="J62" s="24">
        <f t="shared" si="11"/>
        <v>74.860078055555562</v>
      </c>
      <c r="L62" s="22">
        <f>Test!B204</f>
        <v>4730.9791999999998</v>
      </c>
      <c r="M62" s="23">
        <f>Test!C204</f>
        <v>31.058199999999999</v>
      </c>
      <c r="N62" s="23">
        <f>Test!D204</f>
        <v>33.380299999999998</v>
      </c>
      <c r="O62" s="23">
        <f>Test!E204</f>
        <v>33.579599999999999</v>
      </c>
      <c r="P62" s="23">
        <f>Test!F204</f>
        <v>242924.391</v>
      </c>
      <c r="Q62" s="23">
        <f>Test!G204</f>
        <v>32.235999999999997</v>
      </c>
      <c r="R62" s="24">
        <f t="shared" si="12"/>
        <v>67.478997500000006</v>
      </c>
      <c r="S62" s="17">
        <f t="shared" si="10"/>
        <v>0.90140164494514852</v>
      </c>
      <c r="T62" s="18">
        <f t="shared" si="10"/>
        <v>1.0125643925116221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3151.6671999999999</v>
      </c>
      <c r="E63" s="13">
        <f>Reference!C205</f>
        <v>44.722099999999998</v>
      </c>
      <c r="F63" s="13">
        <f>Reference!D205</f>
        <v>43.440600000000003</v>
      </c>
      <c r="G63" s="13">
        <f>Reference!E205</f>
        <v>43.491799999999998</v>
      </c>
      <c r="H63" s="13">
        <f>Reference!F205</f>
        <v>133072.609</v>
      </c>
      <c r="I63" s="13">
        <f>Reference!G205</f>
        <v>15.763999999999999</v>
      </c>
      <c r="J63" s="14">
        <f t="shared" si="11"/>
        <v>36.964613611111112</v>
      </c>
      <c r="L63" s="12">
        <f>Test!B205</f>
        <v>1671.3679999999999</v>
      </c>
      <c r="M63" s="13">
        <f>Test!C205</f>
        <v>49.1357</v>
      </c>
      <c r="N63" s="13">
        <f>Test!D205</f>
        <v>43.760300000000001</v>
      </c>
      <c r="O63" s="13">
        <f>Test!E205</f>
        <v>43.6252</v>
      </c>
      <c r="P63" s="13">
        <f>Test!F205</f>
        <v>100690.984</v>
      </c>
      <c r="Q63" s="13">
        <f>Test!G205</f>
        <v>13.631</v>
      </c>
      <c r="R63" s="14">
        <f t="shared" si="12"/>
        <v>27.969717777777777</v>
      </c>
      <c r="S63" s="17">
        <f t="shared" ref="S63:S74" si="13">P63/H63</f>
        <v>0.75666198143000263</v>
      </c>
      <c r="T63" s="18">
        <f t="shared" ref="T63:T74" si="14">Q63/I63</f>
        <v>0.86469170261354988</v>
      </c>
      <c r="U63" s="91"/>
      <c r="V63" s="37">
        <f>bdrate($D63:$D66,E63:E66,$L63:$L66,M63:M66)</f>
        <v>-0.38975091853926047</v>
      </c>
      <c r="W63" s="42">
        <f>bdrate($D63:$D66,F63:F66,$L63:$L66,N63:N66)</f>
        <v>-0.33094066102196107</v>
      </c>
      <c r="X63" s="42">
        <f>bdrate($D63:$D66,G63:G66,$L63:$L66,O63:O66)</f>
        <v>-0.32742220350635776</v>
      </c>
      <c r="Y63" s="40">
        <f>bdrateOld($D63:$D66,E63:E66,$L63:$L66,M63:M66)</f>
        <v>-0.38873831150179017</v>
      </c>
      <c r="Z63" s="44">
        <f>bdrateOld($D63:$D66,F63:F66,$L63:$L66,N63:N66)</f>
        <v>-0.33130924361213487</v>
      </c>
      <c r="AA63" s="45">
        <f>bdrateOld($D63:$D66,G63:G66,$L63:$L66,O63:O66)</f>
        <v>-0.32765476470692556</v>
      </c>
    </row>
    <row r="64" spans="1:27" x14ac:dyDescent="0.2">
      <c r="A64" s="16"/>
      <c r="B64" s="85"/>
      <c r="C64" s="16">
        <v>32</v>
      </c>
      <c r="D64" s="17">
        <f>Reference!B206</f>
        <v>2246.8431999999998</v>
      </c>
      <c r="E64" s="18">
        <f>Reference!C206</f>
        <v>41.830100000000002</v>
      </c>
      <c r="F64" s="18">
        <f>Reference!D206</f>
        <v>40.437600000000003</v>
      </c>
      <c r="G64" s="18">
        <f>Reference!E206</f>
        <v>40.637799999999999</v>
      </c>
      <c r="H64" s="18">
        <f>Reference!F206</f>
        <v>117855.867</v>
      </c>
      <c r="I64" s="18">
        <f>Reference!G206</f>
        <v>15.061999999999999</v>
      </c>
      <c r="J64" s="19">
        <f t="shared" si="11"/>
        <v>32.737740833333334</v>
      </c>
      <c r="L64" s="17">
        <f>Test!B206</f>
        <v>1434.6704</v>
      </c>
      <c r="M64" s="18">
        <f>Test!C206</f>
        <v>45.704500000000003</v>
      </c>
      <c r="N64" s="18">
        <f>Test!D206</f>
        <v>40.827199999999998</v>
      </c>
      <c r="O64" s="18">
        <f>Test!E206</f>
        <v>40.913499999999999</v>
      </c>
      <c r="P64" s="18">
        <f>Test!F206</f>
        <v>90050.718999999997</v>
      </c>
      <c r="Q64" s="18">
        <f>Test!G206</f>
        <v>13.228999999999999</v>
      </c>
      <c r="R64" s="19">
        <f t="shared" si="12"/>
        <v>25.014088611111109</v>
      </c>
      <c r="S64" s="17">
        <f t="shared" si="13"/>
        <v>0.76407497812561165</v>
      </c>
      <c r="T64" s="18">
        <f t="shared" si="14"/>
        <v>0.87830301420794055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1591.768</v>
      </c>
      <c r="E65" s="18">
        <f>Reference!C207</f>
        <v>37.929499999999997</v>
      </c>
      <c r="F65" s="18">
        <f>Reference!D207</f>
        <v>37.8414</v>
      </c>
      <c r="G65" s="18">
        <f>Reference!E207</f>
        <v>38.124000000000002</v>
      </c>
      <c r="H65" s="18">
        <f>Reference!F207</f>
        <v>102153.883</v>
      </c>
      <c r="I65" s="18">
        <f>Reference!G207</f>
        <v>14.334</v>
      </c>
      <c r="J65" s="19">
        <f t="shared" si="11"/>
        <v>28.376078611111112</v>
      </c>
      <c r="L65" s="17">
        <f>Test!B207</f>
        <v>1232.8943999999999</v>
      </c>
      <c r="M65" s="18">
        <f>Test!C207</f>
        <v>41.211399999999998</v>
      </c>
      <c r="N65" s="18">
        <f>Test!D207</f>
        <v>38.141199999999998</v>
      </c>
      <c r="O65" s="18">
        <f>Test!E207</f>
        <v>38.447200000000002</v>
      </c>
      <c r="P65" s="18">
        <f>Test!F207</f>
        <v>78700.577999999994</v>
      </c>
      <c r="Q65" s="18">
        <f>Test!G207</f>
        <v>13.551</v>
      </c>
      <c r="R65" s="19">
        <f t="shared" si="12"/>
        <v>21.861271666666664</v>
      </c>
      <c r="S65" s="17">
        <f t="shared" si="13"/>
        <v>0.77041200675651256</v>
      </c>
      <c r="T65" s="18">
        <f t="shared" si="14"/>
        <v>0.94537463373796571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1136.6576</v>
      </c>
      <c r="E66" s="23">
        <f>Reference!C208</f>
        <v>32.951799999999999</v>
      </c>
      <c r="F66" s="23">
        <f>Reference!D208</f>
        <v>35.524700000000003</v>
      </c>
      <c r="G66" s="23">
        <f>Reference!E208</f>
        <v>35.840600000000002</v>
      </c>
      <c r="H66" s="23">
        <f>Reference!F208</f>
        <v>86958.508000000002</v>
      </c>
      <c r="I66" s="23">
        <f>Reference!G208</f>
        <v>13.715</v>
      </c>
      <c r="J66" s="24">
        <f t="shared" si="11"/>
        <v>24.15514111111111</v>
      </c>
      <c r="L66" s="22">
        <f>Test!B208</f>
        <v>1024.5824</v>
      </c>
      <c r="M66" s="23">
        <f>Test!C208</f>
        <v>35.427900000000001</v>
      </c>
      <c r="N66" s="23">
        <f>Test!D208</f>
        <v>35.748800000000003</v>
      </c>
      <c r="O66" s="23">
        <f>Test!E208</f>
        <v>36.055900000000001</v>
      </c>
      <c r="P66" s="23">
        <f>Test!F208</f>
        <v>66835.226999999999</v>
      </c>
      <c r="Q66" s="23">
        <f>Test!G208</f>
        <v>13.32</v>
      </c>
      <c r="R66" s="24">
        <f t="shared" si="12"/>
        <v>18.565340833333334</v>
      </c>
      <c r="S66" s="17">
        <f t="shared" si="13"/>
        <v>0.7685875544230818</v>
      </c>
      <c r="T66" s="18">
        <f t="shared" si="14"/>
        <v>0.97119941669704701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10261.2672</v>
      </c>
      <c r="E67" s="13">
        <f>Reference!C209</f>
        <v>40.822800000000001</v>
      </c>
      <c r="F67" s="13">
        <f>Reference!D209</f>
        <v>42.497599999999998</v>
      </c>
      <c r="G67" s="13">
        <f>Reference!E209</f>
        <v>42.987499999999997</v>
      </c>
      <c r="H67" s="13">
        <f>Reference!F209</f>
        <v>347644.875</v>
      </c>
      <c r="I67" s="13">
        <f>Reference!G209</f>
        <v>30.106999999999999</v>
      </c>
      <c r="J67" s="14">
        <f t="shared" si="11"/>
        <v>96.568020833333335</v>
      </c>
      <c r="L67" s="12">
        <f>Test!B209</f>
        <v>10012.4208</v>
      </c>
      <c r="M67" s="13">
        <f>Test!C209</f>
        <v>40.8399</v>
      </c>
      <c r="N67" s="13">
        <f>Test!D209</f>
        <v>42.591999999999999</v>
      </c>
      <c r="O67" s="13">
        <f>Test!E209</f>
        <v>43.017899999999997</v>
      </c>
      <c r="P67" s="13">
        <f>Test!F209</f>
        <v>349871.09399999998</v>
      </c>
      <c r="Q67" s="13">
        <f>Test!G209</f>
        <v>30.332999999999998</v>
      </c>
      <c r="R67" s="14">
        <f t="shared" si="12"/>
        <v>97.186414999999997</v>
      </c>
      <c r="S67" s="17">
        <f t="shared" si="13"/>
        <v>1.0064037158609054</v>
      </c>
      <c r="T67" s="18">
        <f t="shared" si="14"/>
        <v>1.0075065599362274</v>
      </c>
      <c r="U67" s="91"/>
      <c r="V67" s="37">
        <f>bdrate($D67:$D70,E67:E70,$L67:$L70,M67:M70)</f>
        <v>-2.6608085494390865E-2</v>
      </c>
      <c r="W67" s="42">
        <f>bdrate($D67:$D70,F67:F70,$L67:$L70,N67:N70)</f>
        <v>-4.46040687119722E-2</v>
      </c>
      <c r="X67" s="42">
        <f>bdrate($D67:$D70,G67:G70,$L67:$L70,O67:O70)</f>
        <v>-3.3245601152850024E-2</v>
      </c>
      <c r="Y67" s="40">
        <f>bdrateOld($D67:$D70,E67:E70,$L67:$L70,M67:M70)</f>
        <v>-2.6593950131702071E-2</v>
      </c>
      <c r="Z67" s="44">
        <f>bdrateOld($D67:$D70,F67:F70,$L67:$L70,N67:N70)</f>
        <v>-4.4513540963698861E-2</v>
      </c>
      <c r="AA67" s="45">
        <f>bdrateOld($D67:$D70,G67:G70,$L67:$L70,O67:O70)</f>
        <v>-3.3224437184519506E-2</v>
      </c>
    </row>
    <row r="68" spans="1:27" x14ac:dyDescent="0.2">
      <c r="A68" s="16"/>
      <c r="B68" s="85"/>
      <c r="C68" s="16">
        <v>32</v>
      </c>
      <c r="D68" s="17">
        <f>Reference!B210</f>
        <v>5402.1279999999997</v>
      </c>
      <c r="E68" s="18">
        <f>Reference!C210</f>
        <v>38.395699999999998</v>
      </c>
      <c r="F68" s="18">
        <f>Reference!D210</f>
        <v>40.696399999999997</v>
      </c>
      <c r="G68" s="18">
        <f>Reference!E210</f>
        <v>41.0199</v>
      </c>
      <c r="H68" s="18">
        <f>Reference!F210</f>
        <v>241279.016</v>
      </c>
      <c r="I68" s="18">
        <f>Reference!G210</f>
        <v>24.933</v>
      </c>
      <c r="J68" s="19">
        <f t="shared" si="11"/>
        <v>67.021948888888886</v>
      </c>
      <c r="L68" s="17">
        <f>Test!B210</f>
        <v>5272.2655999999997</v>
      </c>
      <c r="M68" s="18">
        <f>Test!C210</f>
        <v>38.420900000000003</v>
      </c>
      <c r="N68" s="18">
        <f>Test!D210</f>
        <v>40.778700000000001</v>
      </c>
      <c r="O68" s="18">
        <f>Test!E210</f>
        <v>41.05</v>
      </c>
      <c r="P68" s="18">
        <f>Test!F210</f>
        <v>232255.53099999999</v>
      </c>
      <c r="Q68" s="18">
        <f>Test!G210</f>
        <v>25.643999999999998</v>
      </c>
      <c r="R68" s="19">
        <f t="shared" si="12"/>
        <v>64.51542527777778</v>
      </c>
      <c r="S68" s="17">
        <f t="shared" si="13"/>
        <v>0.96260145142501741</v>
      </c>
      <c r="T68" s="18">
        <f t="shared" si="14"/>
        <v>1.0285164240163638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2576.5455999999999</v>
      </c>
      <c r="E69" s="18">
        <f>Reference!C211</f>
        <v>35.7059</v>
      </c>
      <c r="F69" s="18">
        <f>Reference!D211</f>
        <v>38.6648</v>
      </c>
      <c r="G69" s="18">
        <f>Reference!E211</f>
        <v>38.848599999999998</v>
      </c>
      <c r="H69" s="18">
        <f>Reference!F211</f>
        <v>158606.984</v>
      </c>
      <c r="I69" s="18">
        <f>Reference!G211</f>
        <v>20.64</v>
      </c>
      <c r="J69" s="19">
        <f t="shared" si="11"/>
        <v>44.057495555555555</v>
      </c>
      <c r="L69" s="17">
        <f>Test!B211</f>
        <v>2525.1887999999999</v>
      </c>
      <c r="M69" s="18">
        <f>Test!C211</f>
        <v>35.7286</v>
      </c>
      <c r="N69" s="18">
        <f>Test!D211</f>
        <v>38.7179</v>
      </c>
      <c r="O69" s="18">
        <f>Test!E211</f>
        <v>38.8872</v>
      </c>
      <c r="P69" s="18">
        <f>Test!F211</f>
        <v>143233.484</v>
      </c>
      <c r="Q69" s="18">
        <f>Test!G211</f>
        <v>20.960999999999999</v>
      </c>
      <c r="R69" s="19">
        <f t="shared" si="12"/>
        <v>39.787078888888885</v>
      </c>
      <c r="S69" s="17">
        <f t="shared" si="13"/>
        <v>0.90307173358772141</v>
      </c>
      <c r="T69" s="18">
        <f t="shared" si="14"/>
        <v>1.0155523255813952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1191.7696000000001</v>
      </c>
      <c r="E70" s="23">
        <f>Reference!C212</f>
        <v>32.867600000000003</v>
      </c>
      <c r="F70" s="23">
        <f>Reference!D212</f>
        <v>36.574300000000001</v>
      </c>
      <c r="G70" s="23">
        <f>Reference!E212</f>
        <v>36.613199999999999</v>
      </c>
      <c r="H70" s="23">
        <f>Reference!F212</f>
        <v>100355.93</v>
      </c>
      <c r="I70" s="23">
        <f>Reference!G212</f>
        <v>17.294</v>
      </c>
      <c r="J70" s="24">
        <f t="shared" si="11"/>
        <v>27.876647222222221</v>
      </c>
      <c r="L70" s="22">
        <f>Test!B212</f>
        <v>1180.2752</v>
      </c>
      <c r="M70" s="23">
        <f>Test!C212</f>
        <v>32.891800000000003</v>
      </c>
      <c r="N70" s="23">
        <f>Test!D212</f>
        <v>36.635300000000001</v>
      </c>
      <c r="O70" s="23">
        <f>Test!E212</f>
        <v>36.680799999999998</v>
      </c>
      <c r="P70" s="23">
        <f>Test!F212</f>
        <v>84201.516000000003</v>
      </c>
      <c r="Q70" s="23">
        <f>Test!G212</f>
        <v>17.43</v>
      </c>
      <c r="R70" s="24">
        <f t="shared" si="12"/>
        <v>23.389310000000002</v>
      </c>
      <c r="S70" s="17">
        <f t="shared" si="13"/>
        <v>0.83902880477516384</v>
      </c>
      <c r="T70" s="18">
        <f t="shared" si="14"/>
        <v>1.0078639990748235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876.55039999999997</v>
      </c>
      <c r="E71" s="13">
        <f>Reference!C213</f>
        <v>47.0032</v>
      </c>
      <c r="F71" s="13">
        <f>Reference!D213</f>
        <v>48.568399999999997</v>
      </c>
      <c r="G71" s="13">
        <f>Reference!E213</f>
        <v>48.847700000000003</v>
      </c>
      <c r="H71" s="13">
        <f>Reference!F213</f>
        <v>57642.203000000001</v>
      </c>
      <c r="I71" s="13">
        <f>Reference!G213</f>
        <v>13.029</v>
      </c>
      <c r="J71" s="14">
        <f>H71/3600</f>
        <v>16.011723055555557</v>
      </c>
      <c r="L71" s="12">
        <f>Test!B213</f>
        <v>679.61919999999998</v>
      </c>
      <c r="M71" s="13">
        <f>Test!C213</f>
        <v>48.5227</v>
      </c>
      <c r="N71" s="13">
        <f>Test!D213</f>
        <v>48.808500000000002</v>
      </c>
      <c r="O71" s="13">
        <f>Test!E213</f>
        <v>48.8765</v>
      </c>
      <c r="P71" s="13">
        <f>Test!F213</f>
        <v>40980.315999999999</v>
      </c>
      <c r="Q71" s="13">
        <f>Test!G213</f>
        <v>12.44</v>
      </c>
      <c r="R71" s="14">
        <f>P71/3600</f>
        <v>11.383421111111112</v>
      </c>
      <c r="S71" s="17">
        <f t="shared" si="13"/>
        <v>0.7109429179866702</v>
      </c>
      <c r="T71" s="18">
        <f t="shared" si="14"/>
        <v>0.954793153733978</v>
      </c>
      <c r="U71" s="91"/>
      <c r="V71" s="37">
        <f>bdrate($D71:$D74,E71:E74,$L71:$L74,M71:M74)</f>
        <v>-0.382117423048704</v>
      </c>
      <c r="W71" s="42">
        <f>bdrate($D71:$D74,F71:F74,$L71:$L74,N71:N74)</f>
        <v>-0.2625224927488623</v>
      </c>
      <c r="X71" s="43">
        <f>bdrate($D71:$D74,G71:G74,$L71:$L74,O71:O74)</f>
        <v>-0.24397882780018942</v>
      </c>
      <c r="Y71" s="37">
        <f>bdrateOld($D71:$D74,E71:E74,$L71:$L74,M71:M74)</f>
        <v>-0.38259882085284991</v>
      </c>
      <c r="Z71" s="42">
        <f>bdrateOld($D71:$D74,F71:F74,$L71:$L74,N71:N74)</f>
        <v>-0.26205753232050044</v>
      </c>
      <c r="AA71" s="43">
        <f>bdrateOld($D71:$D74,G71:G74,$L71:$L74,O71:O74)</f>
        <v>-0.24391710942891331</v>
      </c>
    </row>
    <row r="72" spans="1:27" x14ac:dyDescent="0.2">
      <c r="A72" s="16"/>
      <c r="B72" s="85"/>
      <c r="C72" s="16">
        <v>32</v>
      </c>
      <c r="D72" s="17">
        <f>Reference!B214</f>
        <v>573.65920000000006</v>
      </c>
      <c r="E72" s="18">
        <f>Reference!C214</f>
        <v>44.049300000000002</v>
      </c>
      <c r="F72" s="18">
        <f>Reference!D214</f>
        <v>46.160899999999998</v>
      </c>
      <c r="G72" s="18">
        <f>Reference!E214</f>
        <v>46.394599999999997</v>
      </c>
      <c r="H72" s="18">
        <f>Reference!F214</f>
        <v>47161.991999999998</v>
      </c>
      <c r="I72" s="18">
        <f>Reference!G214</f>
        <v>12.548</v>
      </c>
      <c r="J72" s="19">
        <f t="shared" ref="J72:J74" si="15">H72/3600</f>
        <v>13.100553333333332</v>
      </c>
      <c r="L72" s="17">
        <f>Test!B214</f>
        <v>438.42720000000003</v>
      </c>
      <c r="M72" s="18">
        <f>Test!C214</f>
        <v>45.831899999999997</v>
      </c>
      <c r="N72" s="18">
        <f>Test!D214</f>
        <v>46.500599999999999</v>
      </c>
      <c r="O72" s="18">
        <f>Test!E214</f>
        <v>46.603700000000003</v>
      </c>
      <c r="P72" s="18">
        <f>Test!F214</f>
        <v>30515.815999999999</v>
      </c>
      <c r="Q72" s="18">
        <f>Test!G214</f>
        <v>12.02</v>
      </c>
      <c r="R72" s="19">
        <f t="shared" ref="R72:R74" si="16">P72/3600</f>
        <v>8.476615555555556</v>
      </c>
      <c r="S72" s="17">
        <f t="shared" si="13"/>
        <v>0.64704255918621922</v>
      </c>
      <c r="T72" s="18">
        <f t="shared" si="14"/>
        <v>0.9579215811284667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369.1472</v>
      </c>
      <c r="E73" s="18">
        <f>Reference!C215</f>
        <v>40.180100000000003</v>
      </c>
      <c r="F73" s="18">
        <f>Reference!D215</f>
        <v>43.921700000000001</v>
      </c>
      <c r="G73" s="18">
        <f>Reference!E215</f>
        <v>43.900300000000001</v>
      </c>
      <c r="H73" s="18">
        <f>Reference!F215</f>
        <v>38792.288999999997</v>
      </c>
      <c r="I73" s="18">
        <f>Reference!G215</f>
        <v>12.468999999999999</v>
      </c>
      <c r="J73" s="19">
        <f t="shared" si="15"/>
        <v>10.775635833333332</v>
      </c>
      <c r="L73" s="17">
        <f>Test!B215</f>
        <v>285.1968</v>
      </c>
      <c r="M73" s="18">
        <f>Test!C215</f>
        <v>42.400700000000001</v>
      </c>
      <c r="N73" s="18">
        <f>Test!D215</f>
        <v>44.162199999999999</v>
      </c>
      <c r="O73" s="18">
        <f>Test!E215</f>
        <v>43.981000000000002</v>
      </c>
      <c r="P73" s="18">
        <f>Test!F215</f>
        <v>22653.609</v>
      </c>
      <c r="Q73" s="18">
        <f>Test!G215</f>
        <v>11.872</v>
      </c>
      <c r="R73" s="19">
        <f t="shared" si="16"/>
        <v>6.2926691666666672</v>
      </c>
      <c r="S73" s="17">
        <f t="shared" si="13"/>
        <v>0.5839719589632878</v>
      </c>
      <c r="T73" s="18">
        <f t="shared" si="14"/>
        <v>0.95212126072660197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234.28960000000001</v>
      </c>
      <c r="E74" s="23">
        <f>Reference!C216</f>
        <v>35.363799999999998</v>
      </c>
      <c r="F74" s="23">
        <f>Reference!D216</f>
        <v>42.090499999999999</v>
      </c>
      <c r="G74" s="23">
        <f>Reference!E216</f>
        <v>41.887999999999998</v>
      </c>
      <c r="H74" s="23">
        <f>Reference!F216</f>
        <v>32583.895</v>
      </c>
      <c r="I74" s="23">
        <f>Reference!G216</f>
        <v>12.025</v>
      </c>
      <c r="J74" s="24">
        <f t="shared" si="15"/>
        <v>9.0510819444444444</v>
      </c>
      <c r="L74" s="22">
        <f>Test!B216</f>
        <v>196.3776</v>
      </c>
      <c r="M74" s="23">
        <f>Test!C216</f>
        <v>37.690100000000001</v>
      </c>
      <c r="N74" s="23">
        <f>Test!D216</f>
        <v>42.165500000000002</v>
      </c>
      <c r="O74" s="23">
        <f>Test!E216</f>
        <v>42.063600000000001</v>
      </c>
      <c r="P74" s="23">
        <f>Test!F216</f>
        <v>17947.046999999999</v>
      </c>
      <c r="Q74" s="23">
        <f>Test!G216</f>
        <v>11.427</v>
      </c>
      <c r="R74" s="24">
        <f t="shared" si="16"/>
        <v>4.985290833333333</v>
      </c>
      <c r="S74" s="22">
        <f t="shared" si="13"/>
        <v>0.55079501698615219</v>
      </c>
      <c r="T74" s="23">
        <f t="shared" si="14"/>
        <v>0.95027027027027022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24.980865458887244</v>
      </c>
      <c r="J75" s="15">
        <f>GEOMEAN(J3:J18)</f>
        <v>39.944736160849359</v>
      </c>
      <c r="Q75" s="15">
        <f>GEOMEAN(Q3:Q18)</f>
        <v>25.25769409743403</v>
      </c>
      <c r="R75" s="15">
        <f>GEOMEAN(R3:R18)</f>
        <v>38.192232572414277</v>
      </c>
      <c r="S75" s="15">
        <f>GEOMEAN(S3:S18)</f>
        <v>0.9561267952458592</v>
      </c>
      <c r="T75" s="15">
        <f>GEOMEAN(T3:T18)</f>
        <v>1.0110816272159338</v>
      </c>
      <c r="V75" s="37">
        <f>AVERAGE(V3:V18)</f>
        <v>-9.573013421147164E-3</v>
      </c>
      <c r="W75" s="42">
        <f t="shared" ref="W75:AA75" si="17">AVERAGE(W3:W18)</f>
        <v>-2.2280484795145716E-2</v>
      </c>
      <c r="X75" s="42">
        <f t="shared" si="17"/>
        <v>-1.5752448818569992E-2</v>
      </c>
      <c r="Y75" s="37">
        <f>AVERAGE(Y3:Y18)</f>
        <v>-9.496038406616808E-3</v>
      </c>
      <c r="Z75" s="42">
        <f t="shared" si="17"/>
        <v>-2.2043968427332389E-2</v>
      </c>
      <c r="AA75" s="43">
        <f t="shared" si="17"/>
        <v>-1.589909902596931E-2</v>
      </c>
    </row>
    <row r="76" spans="1:27" x14ac:dyDescent="0.2">
      <c r="B76" s="89" t="s">
        <v>47</v>
      </c>
      <c r="I76" s="15">
        <f>GEOMEAN(I19:I34)</f>
        <v>28.931538749871599</v>
      </c>
      <c r="J76" s="15">
        <f>GEOMEAN(J19:J34)</f>
        <v>51.249343812297369</v>
      </c>
      <c r="Q76" s="15">
        <f>GEOMEAN(Q19:Q34)</f>
        <v>29.583725275042628</v>
      </c>
      <c r="R76" s="15">
        <f>GEOMEAN(R19:R34)</f>
        <v>48.919102810233916</v>
      </c>
      <c r="S76" s="15">
        <f>GEOMEAN(S19:S34)</f>
        <v>0.95453130072068726</v>
      </c>
      <c r="T76" s="15">
        <f>GEOMEAN(T19:T34)</f>
        <v>1.0225424071221902</v>
      </c>
      <c r="V76" s="38">
        <f>AVERAGE(V19:V34)</f>
        <v>-1.2987825354550758E-2</v>
      </c>
      <c r="W76" s="25">
        <f t="shared" ref="W76:AA76" si="18">AVERAGE(W19:W34)</f>
        <v>-2.5487618433915726E-2</v>
      </c>
      <c r="X76" s="25">
        <f t="shared" si="18"/>
        <v>-2.3824256570999292E-2</v>
      </c>
      <c r="Y76" s="38">
        <f t="shared" si="18"/>
        <v>-1.2941464605314923E-2</v>
      </c>
      <c r="Z76" s="25">
        <f t="shared" si="18"/>
        <v>-2.5457012416926522E-2</v>
      </c>
      <c r="AA76" s="50">
        <f t="shared" si="18"/>
        <v>-2.3597747518809803E-2</v>
      </c>
    </row>
    <row r="77" spans="1:27" x14ac:dyDescent="0.2">
      <c r="B77" s="89" t="s">
        <v>51</v>
      </c>
      <c r="I77" s="15">
        <f>GEOMEAN(I35:I50)</f>
        <v>10.066481188806922</v>
      </c>
      <c r="J77" s="15">
        <f>GEOMEAN(J35:J50)</f>
        <v>15.618055079486712</v>
      </c>
      <c r="Q77" s="15">
        <f>GEOMEAN(Q35:Q50)</f>
        <v>10.383254935132653</v>
      </c>
      <c r="R77" s="15">
        <f>GEOMEAN(R35:R50)</f>
        <v>14.546419504838706</v>
      </c>
      <c r="S77" s="15">
        <f>GEOMEAN(S35:S50)</f>
        <v>0.93138482549882096</v>
      </c>
      <c r="T77" s="15">
        <f>GEOMEAN(T35:T50)</f>
        <v>1.0314681704941702</v>
      </c>
      <c r="V77" s="38">
        <f>AVERAGE(V35:V50)</f>
        <v>-2.057976722637464E-2</v>
      </c>
      <c r="W77" s="25">
        <f t="shared" ref="W77:AA77" si="19">AVERAGE(W35:W50)</f>
        <v>-1.8226273712998259E-2</v>
      </c>
      <c r="X77" s="25">
        <f t="shared" si="19"/>
        <v>-1.695890139017539E-2</v>
      </c>
      <c r="Y77" s="38">
        <f t="shared" si="19"/>
        <v>-2.042762546930646E-2</v>
      </c>
      <c r="Z77" s="25">
        <f t="shared" si="19"/>
        <v>-1.76932789314658E-2</v>
      </c>
      <c r="AA77" s="50">
        <f t="shared" si="19"/>
        <v>-1.6795164593172568E-2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>
        <f>GEOMEAN(I59:I74)</f>
        <v>20.227043950774991</v>
      </c>
      <c r="J79" s="15">
        <f>GEOMEAN(J59:J74)</f>
        <v>39.203269489376602</v>
      </c>
      <c r="Q79" s="15">
        <f>GEOMEAN(Q59:Q74)</f>
        <v>19.5448627136699</v>
      </c>
      <c r="R79" s="15">
        <f>GEOMEAN(R59:R74)</f>
        <v>31.570193281656326</v>
      </c>
      <c r="S79" s="15">
        <f t="shared" ref="S79:T79" si="21">GEOMEAN(S59:S74)</f>
        <v>0.80529490761507261</v>
      </c>
      <c r="T79" s="15">
        <f t="shared" si="21"/>
        <v>0.96627380457741296</v>
      </c>
      <c r="V79" s="40">
        <f>AVERAGE(V59:V74)</f>
        <v>-0.25339598282943254</v>
      </c>
      <c r="W79" s="44">
        <f t="shared" ref="W79:AA79" si="22">AVERAGE(W59:W74)</f>
        <v>-0.19591829342981434</v>
      </c>
      <c r="X79" s="44">
        <f t="shared" si="22"/>
        <v>-0.18794326398404626</v>
      </c>
      <c r="Y79" s="40">
        <f t="shared" si="22"/>
        <v>-0.25334662575771594</v>
      </c>
      <c r="Z79" s="44">
        <f t="shared" si="22"/>
        <v>-0.19587086567900064</v>
      </c>
      <c r="AA79" s="45">
        <f t="shared" si="22"/>
        <v>-0.18796032800161916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19.376956594954077</v>
      </c>
      <c r="J80" s="54">
        <f xml:space="preserve"> GEOMEAN(J3:J50)</f>
        <v>31.738880589425829</v>
      </c>
      <c r="K80" s="4"/>
      <c r="L80" s="4"/>
      <c r="M80" s="4"/>
      <c r="N80" s="4"/>
      <c r="O80" s="4"/>
      <c r="P80" s="4"/>
      <c r="Q80" s="54">
        <f xml:space="preserve"> GEOMEAN(Q3:Q50)</f>
        <v>19.796725399752347</v>
      </c>
      <c r="R80" s="54">
        <f xml:space="preserve"> GEOMEAN(R3:R50)</f>
        <v>30.065600279445121</v>
      </c>
      <c r="S80" s="54">
        <f>GEOMEAN(S3:S50)</f>
        <v>0.9472797944065432</v>
      </c>
      <c r="T80" s="54">
        <f>GEOMEAN(T3:T50)</f>
        <v>1.0216632990191854</v>
      </c>
      <c r="U80" s="4"/>
      <c r="V80" s="41">
        <f>AVERAGE(V3:V50)</f>
        <v>-1.4380202000690854E-2</v>
      </c>
      <c r="W80" s="46">
        <f t="shared" ref="W80:AA80" si="23">AVERAGE(W3:W50)</f>
        <v>-2.1998125647353234E-2</v>
      </c>
      <c r="X80" s="47">
        <f t="shared" si="23"/>
        <v>-1.884520225991489E-2</v>
      </c>
      <c r="Y80" s="46">
        <f t="shared" si="23"/>
        <v>-1.428837616041273E-2</v>
      </c>
      <c r="Z80" s="46">
        <f t="shared" si="23"/>
        <v>-2.1731419925241569E-2</v>
      </c>
      <c r="AA80" s="47">
        <f t="shared" si="23"/>
        <v>-1.8764003712650561E-2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A83"/>
  <sheetViews>
    <sheetView topLeftCell="A54"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88"/>
  <sheetViews>
    <sheetView workbookViewId="0">
      <selection activeCell="A201" sqref="A201:G21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79057.608600000007</v>
      </c>
      <c r="C1">
        <v>40.813899999999997</v>
      </c>
      <c r="D1">
        <v>49.1158</v>
      </c>
      <c r="E1">
        <v>47.688699999999997</v>
      </c>
      <c r="F1">
        <v>92770.608999999997</v>
      </c>
      <c r="G1">
        <v>31.655000000000001</v>
      </c>
    </row>
    <row r="2" spans="1:7" x14ac:dyDescent="0.15">
      <c r="A2" s="141" t="s">
        <v>191</v>
      </c>
      <c r="B2">
        <v>42127.835700000003</v>
      </c>
      <c r="C2">
        <v>40.1464</v>
      </c>
      <c r="D2">
        <v>48.309899999999999</v>
      </c>
      <c r="E2">
        <v>46.5565</v>
      </c>
      <c r="F2">
        <v>54813.023000000001</v>
      </c>
      <c r="G2">
        <v>28.9</v>
      </c>
    </row>
    <row r="3" spans="1:7" x14ac:dyDescent="0.15">
      <c r="A3" s="141" t="s">
        <v>192</v>
      </c>
      <c r="B3">
        <v>25149.2886</v>
      </c>
      <c r="C3">
        <v>39.408900000000003</v>
      </c>
      <c r="D3">
        <v>47.293300000000002</v>
      </c>
      <c r="E3">
        <v>45.242800000000003</v>
      </c>
      <c r="F3">
        <v>35509.108999999997</v>
      </c>
      <c r="G3">
        <v>26.914000000000001</v>
      </c>
    </row>
    <row r="4" spans="1:7" x14ac:dyDescent="0.15">
      <c r="A4" s="141" t="s">
        <v>193</v>
      </c>
      <c r="B4">
        <v>14266.4692</v>
      </c>
      <c r="C4">
        <v>38.162100000000002</v>
      </c>
      <c r="D4">
        <v>45.755899999999997</v>
      </c>
      <c r="E4">
        <v>43.387099999999997</v>
      </c>
      <c r="F4">
        <v>21183.937999999998</v>
      </c>
      <c r="G4">
        <v>24.114999999999998</v>
      </c>
    </row>
    <row r="5" spans="1:7" x14ac:dyDescent="0.15">
      <c r="A5" s="141" t="s">
        <v>194</v>
      </c>
      <c r="B5">
        <v>330683.69469999999</v>
      </c>
      <c r="C5">
        <v>44.643999999999998</v>
      </c>
      <c r="D5">
        <v>38.938899999999997</v>
      </c>
      <c r="E5">
        <v>39.587400000000002</v>
      </c>
      <c r="F5">
        <v>128972.18799999999</v>
      </c>
      <c r="G5">
        <v>45.073999999999998</v>
      </c>
    </row>
    <row r="6" spans="1:7" x14ac:dyDescent="0.15">
      <c r="A6" s="141" t="s">
        <v>195</v>
      </c>
      <c r="B6">
        <v>211136.9368</v>
      </c>
      <c r="C6">
        <v>41.871099999999998</v>
      </c>
      <c r="D6">
        <v>36.337600000000002</v>
      </c>
      <c r="E6">
        <v>37.274099999999997</v>
      </c>
      <c r="F6">
        <v>106511.141</v>
      </c>
      <c r="G6">
        <v>40.768000000000001</v>
      </c>
    </row>
    <row r="7" spans="1:7" x14ac:dyDescent="0.15">
      <c r="A7" s="141" t="s">
        <v>196</v>
      </c>
      <c r="B7">
        <v>120394.1053</v>
      </c>
      <c r="C7">
        <v>38.621000000000002</v>
      </c>
      <c r="D7">
        <v>34.023499999999999</v>
      </c>
      <c r="E7">
        <v>35.170900000000003</v>
      </c>
      <c r="F7">
        <v>82238.976999999999</v>
      </c>
      <c r="G7">
        <v>35.951999999999998</v>
      </c>
    </row>
    <row r="8" spans="1:7" x14ac:dyDescent="0.15">
      <c r="A8" s="141" t="s">
        <v>197</v>
      </c>
      <c r="B8">
        <v>56139.852599999998</v>
      </c>
      <c r="C8">
        <v>35.1357</v>
      </c>
      <c r="D8">
        <v>31.625</v>
      </c>
      <c r="E8">
        <v>33.049500000000002</v>
      </c>
      <c r="F8">
        <v>56308.781000000003</v>
      </c>
      <c r="G8">
        <v>30.027999999999999</v>
      </c>
    </row>
    <row r="9" spans="1:7" x14ac:dyDescent="0.15">
      <c r="A9" s="141" t="s">
        <v>198</v>
      </c>
      <c r="B9">
        <v>126144.1453</v>
      </c>
      <c r="C9">
        <v>41.503999999999998</v>
      </c>
      <c r="D9">
        <v>43.841099999999997</v>
      </c>
      <c r="E9">
        <v>42.913200000000003</v>
      </c>
      <c r="F9">
        <v>132194.766</v>
      </c>
      <c r="G9">
        <v>37.171999999999997</v>
      </c>
    </row>
    <row r="10" spans="1:7" x14ac:dyDescent="0.15">
      <c r="A10" s="141" t="s">
        <v>199</v>
      </c>
      <c r="B10">
        <v>57040.086300000003</v>
      </c>
      <c r="C10">
        <v>38.854700000000001</v>
      </c>
      <c r="D10">
        <v>41.2134</v>
      </c>
      <c r="E10">
        <v>41.616900000000001</v>
      </c>
      <c r="F10">
        <v>85536.812000000005</v>
      </c>
      <c r="G10">
        <v>29.959</v>
      </c>
    </row>
    <row r="11" spans="1:7" x14ac:dyDescent="0.15">
      <c r="A11" s="141" t="s">
        <v>200</v>
      </c>
      <c r="B11">
        <v>25733.2484</v>
      </c>
      <c r="C11">
        <v>37.279400000000003</v>
      </c>
      <c r="D11">
        <v>38.881100000000004</v>
      </c>
      <c r="E11">
        <v>40.4131</v>
      </c>
      <c r="F11">
        <v>49851.086000000003</v>
      </c>
      <c r="G11">
        <v>25.536000000000001</v>
      </c>
    </row>
    <row r="12" spans="1:7" x14ac:dyDescent="0.15">
      <c r="A12" s="141" t="s">
        <v>201</v>
      </c>
      <c r="B12">
        <v>12385.1937</v>
      </c>
      <c r="C12">
        <v>35.8748</v>
      </c>
      <c r="D12">
        <v>36.156500000000001</v>
      </c>
      <c r="E12">
        <v>38.816800000000001</v>
      </c>
      <c r="F12">
        <v>29716.455000000002</v>
      </c>
      <c r="G12">
        <v>22.113</v>
      </c>
    </row>
    <row r="13" spans="1:7" x14ac:dyDescent="0.15">
      <c r="A13" s="141" t="s">
        <v>202</v>
      </c>
      <c r="B13">
        <v>184893.7389</v>
      </c>
      <c r="C13">
        <v>38.639600000000002</v>
      </c>
      <c r="D13">
        <v>45.448700000000002</v>
      </c>
      <c r="E13">
        <v>43.344799999999999</v>
      </c>
      <c r="F13">
        <v>161923.96900000001</v>
      </c>
      <c r="G13">
        <v>40.322000000000003</v>
      </c>
    </row>
    <row r="14" spans="1:7" x14ac:dyDescent="0.15">
      <c r="A14" s="141" t="s">
        <v>203</v>
      </c>
      <c r="B14">
        <v>87877.970499999996</v>
      </c>
      <c r="C14">
        <v>37.652799999999999</v>
      </c>
      <c r="D14">
        <v>44.460900000000002</v>
      </c>
      <c r="E14">
        <v>42.154400000000003</v>
      </c>
      <c r="F14">
        <v>96081.210999999996</v>
      </c>
      <c r="G14">
        <v>32.545000000000002</v>
      </c>
    </row>
    <row r="15" spans="1:7" x14ac:dyDescent="0.15">
      <c r="A15" s="141" t="s">
        <v>204</v>
      </c>
      <c r="B15">
        <v>50315.658900000002</v>
      </c>
      <c r="C15">
        <v>36.711399999999998</v>
      </c>
      <c r="D15">
        <v>43.3523</v>
      </c>
      <c r="E15">
        <v>40.901000000000003</v>
      </c>
      <c r="F15">
        <v>62091.832000000002</v>
      </c>
      <c r="G15">
        <v>28.629000000000001</v>
      </c>
    </row>
    <row r="16" spans="1:7" x14ac:dyDescent="0.15">
      <c r="A16" s="141" t="s">
        <v>205</v>
      </c>
      <c r="B16">
        <v>26420.715800000002</v>
      </c>
      <c r="C16">
        <v>35.187600000000003</v>
      </c>
      <c r="D16">
        <v>41.8461</v>
      </c>
      <c r="E16">
        <v>39.4206</v>
      </c>
      <c r="F16">
        <v>39848.266000000003</v>
      </c>
      <c r="G16">
        <v>25.315000000000001</v>
      </c>
    </row>
    <row r="17" spans="1:7" x14ac:dyDescent="0.15">
      <c r="A17" s="141" t="s">
        <v>94</v>
      </c>
      <c r="B17">
        <v>68940.412700000001</v>
      </c>
      <c r="C17">
        <v>39.548299999999998</v>
      </c>
      <c r="D17">
        <v>40.3825</v>
      </c>
      <c r="E17">
        <v>43.382300000000001</v>
      </c>
      <c r="F17">
        <v>76867.241999999998</v>
      </c>
      <c r="G17">
        <v>19.225999999999999</v>
      </c>
    </row>
    <row r="18" spans="1:7" x14ac:dyDescent="0.15">
      <c r="A18" s="141" t="s">
        <v>95</v>
      </c>
      <c r="B18">
        <v>41039.593699999998</v>
      </c>
      <c r="C18">
        <v>37.894300000000001</v>
      </c>
      <c r="D18">
        <v>39.314599999999999</v>
      </c>
      <c r="E18">
        <v>41.8553</v>
      </c>
      <c r="F18">
        <v>54309.792999999998</v>
      </c>
      <c r="G18">
        <v>16.440999999999999</v>
      </c>
    </row>
    <row r="19" spans="1:7" x14ac:dyDescent="0.15">
      <c r="A19" s="141" t="s">
        <v>96</v>
      </c>
      <c r="B19">
        <v>23587.866699999999</v>
      </c>
      <c r="C19">
        <v>35.965400000000002</v>
      </c>
      <c r="D19">
        <v>38.367100000000001</v>
      </c>
      <c r="E19">
        <v>40.373899999999999</v>
      </c>
      <c r="F19">
        <v>38490.008000000002</v>
      </c>
      <c r="G19">
        <v>14.406000000000001</v>
      </c>
    </row>
    <row r="20" spans="1:7" x14ac:dyDescent="0.15">
      <c r="A20" s="141" t="s">
        <v>97</v>
      </c>
      <c r="B20">
        <v>11987.5111</v>
      </c>
      <c r="C20">
        <v>33.480699999999999</v>
      </c>
      <c r="D20">
        <v>37.125</v>
      </c>
      <c r="E20">
        <v>38.557299999999998</v>
      </c>
      <c r="F20">
        <v>25547.449000000001</v>
      </c>
      <c r="G20">
        <v>11.840999999999999</v>
      </c>
    </row>
    <row r="21" spans="1:7" x14ac:dyDescent="0.15">
      <c r="A21" s="141" t="s">
        <v>98</v>
      </c>
      <c r="B21">
        <v>43423.631699999998</v>
      </c>
      <c r="C21">
        <v>40.178400000000003</v>
      </c>
      <c r="D21">
        <v>44.061100000000003</v>
      </c>
      <c r="E21">
        <v>45.551900000000003</v>
      </c>
      <c r="F21">
        <v>61150.464999999997</v>
      </c>
      <c r="G21">
        <v>16.545999999999999</v>
      </c>
    </row>
    <row r="22" spans="1:7" x14ac:dyDescent="0.15">
      <c r="A22" s="141" t="s">
        <v>99</v>
      </c>
      <c r="B22">
        <v>23633.263500000001</v>
      </c>
      <c r="C22">
        <v>38.694000000000003</v>
      </c>
      <c r="D22">
        <v>43.004899999999999</v>
      </c>
      <c r="E22">
        <v>43.986600000000003</v>
      </c>
      <c r="F22">
        <v>41666.843999999997</v>
      </c>
      <c r="G22">
        <v>14.1</v>
      </c>
    </row>
    <row r="23" spans="1:7" x14ac:dyDescent="0.15">
      <c r="A23" s="141" t="s">
        <v>100</v>
      </c>
      <c r="B23">
        <v>13196.1333</v>
      </c>
      <c r="C23">
        <v>37.217599999999997</v>
      </c>
      <c r="D23">
        <v>41.820599999999999</v>
      </c>
      <c r="E23">
        <v>42.322099999999999</v>
      </c>
      <c r="F23">
        <v>28276.113000000001</v>
      </c>
      <c r="G23">
        <v>12.773999999999999</v>
      </c>
    </row>
    <row r="24" spans="1:7" x14ac:dyDescent="0.15">
      <c r="A24" s="141" t="s">
        <v>101</v>
      </c>
      <c r="B24">
        <v>7016.8698000000004</v>
      </c>
      <c r="C24">
        <v>35.273000000000003</v>
      </c>
      <c r="D24">
        <v>40.258699999999997</v>
      </c>
      <c r="E24">
        <v>40.239600000000003</v>
      </c>
      <c r="F24">
        <v>18043.605</v>
      </c>
      <c r="G24">
        <v>11.09</v>
      </c>
    </row>
    <row r="25" spans="1:7" x14ac:dyDescent="0.15">
      <c r="A25" s="141" t="s">
        <v>206</v>
      </c>
      <c r="B25">
        <v>65610.675199999998</v>
      </c>
      <c r="C25">
        <v>41.6905</v>
      </c>
      <c r="D25">
        <v>44.162999999999997</v>
      </c>
      <c r="E25">
        <v>44.965800000000002</v>
      </c>
      <c r="F25">
        <v>66904.008000000002</v>
      </c>
      <c r="G25">
        <v>20.834</v>
      </c>
    </row>
    <row r="26" spans="1:7" x14ac:dyDescent="0.15">
      <c r="A26" s="141" t="s">
        <v>207</v>
      </c>
      <c r="B26">
        <v>42188.544000000002</v>
      </c>
      <c r="C26">
        <v>39.883400000000002</v>
      </c>
      <c r="D26">
        <v>42.622700000000002</v>
      </c>
      <c r="E26">
        <v>43.610399999999998</v>
      </c>
      <c r="F26">
        <v>50573.644999999997</v>
      </c>
      <c r="G26">
        <v>18.161000000000001</v>
      </c>
    </row>
    <row r="27" spans="1:7" x14ac:dyDescent="0.15">
      <c r="A27" s="141" t="s">
        <v>208</v>
      </c>
      <c r="B27">
        <v>24727.257600000001</v>
      </c>
      <c r="C27">
        <v>37.658000000000001</v>
      </c>
      <c r="D27">
        <v>41.206499999999998</v>
      </c>
      <c r="E27">
        <v>42.2072</v>
      </c>
      <c r="F27">
        <v>36964.495999999999</v>
      </c>
      <c r="G27">
        <v>16.356000000000002</v>
      </c>
    </row>
    <row r="28" spans="1:7" x14ac:dyDescent="0.15">
      <c r="A28" s="141" t="s">
        <v>209</v>
      </c>
      <c r="B28">
        <v>12450.547200000001</v>
      </c>
      <c r="C28">
        <v>34.967399999999998</v>
      </c>
      <c r="D28">
        <v>39.609400000000001</v>
      </c>
      <c r="E28">
        <v>40.493099999999998</v>
      </c>
      <c r="F28">
        <v>24660.678</v>
      </c>
      <c r="G28">
        <v>13.922000000000001</v>
      </c>
    </row>
    <row r="29" spans="1:7" x14ac:dyDescent="0.15">
      <c r="A29" s="141" t="s">
        <v>210</v>
      </c>
      <c r="B29">
        <v>40239.833599999998</v>
      </c>
      <c r="C29">
        <v>44.8401</v>
      </c>
      <c r="D29">
        <v>47.061300000000003</v>
      </c>
      <c r="E29">
        <v>48.108699999999999</v>
      </c>
      <c r="F29">
        <v>48969.133000000002</v>
      </c>
      <c r="G29">
        <v>18.867000000000001</v>
      </c>
    </row>
    <row r="30" spans="1:7" x14ac:dyDescent="0.15">
      <c r="A30" s="141" t="s">
        <v>211</v>
      </c>
      <c r="B30">
        <v>26483.903999999999</v>
      </c>
      <c r="C30">
        <v>42.6877</v>
      </c>
      <c r="D30">
        <v>45.254800000000003</v>
      </c>
      <c r="E30">
        <v>46.168300000000002</v>
      </c>
      <c r="F30">
        <v>38934.012000000002</v>
      </c>
      <c r="G30">
        <v>16.643000000000001</v>
      </c>
    </row>
    <row r="31" spans="1:7" x14ac:dyDescent="0.15">
      <c r="A31" s="141" t="s">
        <v>212</v>
      </c>
      <c r="B31">
        <v>15641.12</v>
      </c>
      <c r="C31">
        <v>40.003700000000002</v>
      </c>
      <c r="D31">
        <v>43.565899999999999</v>
      </c>
      <c r="E31">
        <v>44.285200000000003</v>
      </c>
      <c r="F31">
        <v>28728.258000000002</v>
      </c>
      <c r="G31">
        <v>15.016</v>
      </c>
    </row>
    <row r="32" spans="1:7" x14ac:dyDescent="0.15">
      <c r="A32" s="141" t="s">
        <v>213</v>
      </c>
      <c r="B32">
        <v>8134.2719999999999</v>
      </c>
      <c r="C32">
        <v>36.9345</v>
      </c>
      <c r="D32">
        <v>41.656500000000001</v>
      </c>
      <c r="E32">
        <v>42.020800000000001</v>
      </c>
      <c r="F32">
        <v>19078.254000000001</v>
      </c>
      <c r="G32">
        <v>12.769</v>
      </c>
    </row>
    <row r="33" spans="1:7" x14ac:dyDescent="0.15">
      <c r="A33" s="141" t="s">
        <v>102</v>
      </c>
      <c r="B33">
        <v>54438.003199999999</v>
      </c>
      <c r="C33">
        <v>41.674500000000002</v>
      </c>
      <c r="D33">
        <v>45.6708</v>
      </c>
      <c r="E33">
        <v>46.1004</v>
      </c>
      <c r="F33">
        <v>44450.487999999998</v>
      </c>
      <c r="G33">
        <v>11.56</v>
      </c>
    </row>
    <row r="34" spans="1:7" x14ac:dyDescent="0.15">
      <c r="A34" s="141" t="s">
        <v>103</v>
      </c>
      <c r="B34">
        <v>37178.316800000001</v>
      </c>
      <c r="C34">
        <v>38.733400000000003</v>
      </c>
      <c r="D34">
        <v>43.713500000000003</v>
      </c>
      <c r="E34">
        <v>44.109499999999997</v>
      </c>
      <c r="F34">
        <v>37388.608999999997</v>
      </c>
      <c r="G34">
        <v>10.526999999999999</v>
      </c>
    </row>
    <row r="35" spans="1:7" x14ac:dyDescent="0.15">
      <c r="A35" s="141" t="s">
        <v>104</v>
      </c>
      <c r="B35">
        <v>22070.342400000001</v>
      </c>
      <c r="C35">
        <v>35.3538</v>
      </c>
      <c r="D35">
        <v>42.060499999999998</v>
      </c>
      <c r="E35">
        <v>42.476599999999998</v>
      </c>
      <c r="F35">
        <v>29067.418000000001</v>
      </c>
      <c r="G35">
        <v>8.9990000000000006</v>
      </c>
    </row>
    <row r="36" spans="1:7" x14ac:dyDescent="0.15">
      <c r="A36" s="141" t="s">
        <v>105</v>
      </c>
      <c r="B36">
        <v>10878.752</v>
      </c>
      <c r="C36">
        <v>31.7271</v>
      </c>
      <c r="D36">
        <v>40.460099999999997</v>
      </c>
      <c r="E36">
        <v>40.967100000000002</v>
      </c>
      <c r="F36">
        <v>20682.349999999999</v>
      </c>
      <c r="G36">
        <v>7.2519999999999998</v>
      </c>
    </row>
    <row r="37" spans="1:7" x14ac:dyDescent="0.15">
      <c r="A37" s="141" t="s">
        <v>106</v>
      </c>
      <c r="B37">
        <v>20598.163199999999</v>
      </c>
      <c r="C37">
        <v>42.6599</v>
      </c>
      <c r="D37">
        <v>45.416800000000002</v>
      </c>
      <c r="E37">
        <v>46.957099999999997</v>
      </c>
      <c r="F37">
        <v>27022.794999999998</v>
      </c>
      <c r="G37">
        <v>8.4670000000000005</v>
      </c>
    </row>
    <row r="38" spans="1:7" x14ac:dyDescent="0.15">
      <c r="A38" s="141" t="s">
        <v>107</v>
      </c>
      <c r="B38">
        <v>11718.777599999999</v>
      </c>
      <c r="C38">
        <v>40.639800000000001</v>
      </c>
      <c r="D38">
        <v>44.406100000000002</v>
      </c>
      <c r="E38">
        <v>45.254899999999999</v>
      </c>
      <c r="F38">
        <v>19455.886999999999</v>
      </c>
      <c r="G38">
        <v>7.1959999999999997</v>
      </c>
    </row>
    <row r="39" spans="1:7" x14ac:dyDescent="0.15">
      <c r="A39" s="141" t="s">
        <v>108</v>
      </c>
      <c r="B39">
        <v>6482.4255999999996</v>
      </c>
      <c r="C39">
        <v>38.627899999999997</v>
      </c>
      <c r="D39">
        <v>43.337899999999998</v>
      </c>
      <c r="E39">
        <v>43.460799999999999</v>
      </c>
      <c r="F39">
        <v>13512.029</v>
      </c>
      <c r="G39">
        <v>6.4039999999999999</v>
      </c>
    </row>
    <row r="40" spans="1:7" x14ac:dyDescent="0.15">
      <c r="A40" s="141" t="s">
        <v>109</v>
      </c>
      <c r="B40">
        <v>3294.1504</v>
      </c>
      <c r="C40">
        <v>36.2393</v>
      </c>
      <c r="D40">
        <v>41.883200000000002</v>
      </c>
      <c r="E40">
        <v>41.240200000000002</v>
      </c>
      <c r="F40">
        <v>8547.8040000000001</v>
      </c>
      <c r="G40">
        <v>5.4969999999999999</v>
      </c>
    </row>
    <row r="41" spans="1:7" x14ac:dyDescent="0.15">
      <c r="A41" s="141" t="s">
        <v>110</v>
      </c>
      <c r="B41">
        <v>15439.3024</v>
      </c>
      <c r="C41">
        <v>44.160299999999999</v>
      </c>
      <c r="D41">
        <v>46.892099999999999</v>
      </c>
      <c r="E41">
        <v>47.795299999999997</v>
      </c>
      <c r="F41">
        <v>21897.949000000001</v>
      </c>
      <c r="G41">
        <v>7.8239999999999998</v>
      </c>
    </row>
    <row r="42" spans="1:7" x14ac:dyDescent="0.15">
      <c r="A42" s="141" t="s">
        <v>111</v>
      </c>
      <c r="B42">
        <v>10438.6752</v>
      </c>
      <c r="C42">
        <v>42.418199999999999</v>
      </c>
      <c r="D42">
        <v>45.6357</v>
      </c>
      <c r="E42">
        <v>46.316499999999998</v>
      </c>
      <c r="F42">
        <v>17231.004000000001</v>
      </c>
      <c r="G42">
        <v>7.35</v>
      </c>
    </row>
    <row r="43" spans="1:7" x14ac:dyDescent="0.15">
      <c r="A43" s="141" t="s">
        <v>112</v>
      </c>
      <c r="B43">
        <v>6580.7871999999998</v>
      </c>
      <c r="C43">
        <v>40.067399999999999</v>
      </c>
      <c r="D43">
        <v>44.2273</v>
      </c>
      <c r="E43">
        <v>44.7286</v>
      </c>
      <c r="F43">
        <v>12715.041999999999</v>
      </c>
      <c r="G43">
        <v>6.3929999999999998</v>
      </c>
    </row>
    <row r="44" spans="1:7" x14ac:dyDescent="0.15">
      <c r="A44" s="141" t="s">
        <v>113</v>
      </c>
      <c r="B44">
        <v>3802.4895999999999</v>
      </c>
      <c r="C44">
        <v>37.063800000000001</v>
      </c>
      <c r="D44">
        <v>42.4146</v>
      </c>
      <c r="E44">
        <v>42.758299999999998</v>
      </c>
      <c r="F44">
        <v>8660.8870000000006</v>
      </c>
      <c r="G44">
        <v>5.55</v>
      </c>
    </row>
    <row r="45" spans="1:7" x14ac:dyDescent="0.15">
      <c r="A45" s="141" t="s">
        <v>114</v>
      </c>
      <c r="B45">
        <v>16625.900799999999</v>
      </c>
      <c r="C45">
        <v>44.1068</v>
      </c>
      <c r="D45">
        <v>48.406100000000002</v>
      </c>
      <c r="E45">
        <v>48.1387</v>
      </c>
      <c r="F45">
        <v>21975.638999999999</v>
      </c>
      <c r="G45">
        <v>7.7240000000000002</v>
      </c>
    </row>
    <row r="46" spans="1:7" x14ac:dyDescent="0.15">
      <c r="A46" s="141" t="s">
        <v>115</v>
      </c>
      <c r="B46">
        <v>11531.8784</v>
      </c>
      <c r="C46">
        <v>42.3538</v>
      </c>
      <c r="D46">
        <v>47.254399999999997</v>
      </c>
      <c r="E46">
        <v>46.472900000000003</v>
      </c>
      <c r="F46">
        <v>17289.555</v>
      </c>
      <c r="G46">
        <v>6.9539999999999997</v>
      </c>
    </row>
    <row r="47" spans="1:7" x14ac:dyDescent="0.15">
      <c r="A47" s="141" t="s">
        <v>116</v>
      </c>
      <c r="B47">
        <v>7469.0432000000001</v>
      </c>
      <c r="C47">
        <v>39.949199999999998</v>
      </c>
      <c r="D47">
        <v>46.035800000000002</v>
      </c>
      <c r="E47">
        <v>44.610199999999999</v>
      </c>
      <c r="F47">
        <v>13149.287</v>
      </c>
      <c r="G47">
        <v>6.2160000000000002</v>
      </c>
    </row>
    <row r="48" spans="1:7" x14ac:dyDescent="0.15">
      <c r="A48" s="141" t="s">
        <v>117</v>
      </c>
      <c r="B48">
        <v>4341.6319999999996</v>
      </c>
      <c r="C48">
        <v>36.726999999999997</v>
      </c>
      <c r="D48">
        <v>44.261400000000002</v>
      </c>
      <c r="E48">
        <v>42.269599999999997</v>
      </c>
      <c r="F48">
        <v>9314.8690000000006</v>
      </c>
      <c r="G48">
        <v>5.4109999999999996</v>
      </c>
    </row>
    <row r="49" spans="1:7" x14ac:dyDescent="0.15">
      <c r="A49" s="141" t="s">
        <v>214</v>
      </c>
    </row>
    <row r="50" spans="1:7" x14ac:dyDescent="0.15">
      <c r="A50" s="141" t="s">
        <v>215</v>
      </c>
    </row>
    <row r="51" spans="1:7" x14ac:dyDescent="0.15">
      <c r="A51" s="141" t="s">
        <v>216</v>
      </c>
    </row>
    <row r="52" spans="1:7" x14ac:dyDescent="0.15">
      <c r="A52" s="141" t="s">
        <v>217</v>
      </c>
    </row>
    <row r="53" spans="1:7" x14ac:dyDescent="0.15">
      <c r="A53" s="141" t="s">
        <v>218</v>
      </c>
    </row>
    <row r="54" spans="1:7" x14ac:dyDescent="0.15">
      <c r="A54" s="141" t="s">
        <v>219</v>
      </c>
    </row>
    <row r="55" spans="1:7" x14ac:dyDescent="0.15">
      <c r="A55" s="141" t="s">
        <v>220</v>
      </c>
    </row>
    <row r="56" spans="1:7" x14ac:dyDescent="0.15">
      <c r="A56" s="141" t="s">
        <v>221</v>
      </c>
    </row>
    <row r="57" spans="1:7" x14ac:dyDescent="0.15">
      <c r="A57" s="141" t="s">
        <v>318</v>
      </c>
      <c r="B57">
        <v>80440.749500000005</v>
      </c>
      <c r="C57">
        <v>44.672899999999998</v>
      </c>
      <c r="D57">
        <v>43.442799999999998</v>
      </c>
      <c r="E57">
        <v>43.5501</v>
      </c>
      <c r="F57">
        <v>62350.73</v>
      </c>
      <c r="G57">
        <v>9.3569999999999993</v>
      </c>
    </row>
    <row r="58" spans="1:7" x14ac:dyDescent="0.15">
      <c r="A58" s="141" t="s">
        <v>319</v>
      </c>
      <c r="B58">
        <v>61232.349499999997</v>
      </c>
      <c r="C58">
        <v>41.117800000000003</v>
      </c>
      <c r="D58">
        <v>40.478900000000003</v>
      </c>
      <c r="E58">
        <v>40.665399999999998</v>
      </c>
      <c r="F58">
        <v>59604.472999999998</v>
      </c>
      <c r="G58">
        <v>9.1739999999999995</v>
      </c>
    </row>
    <row r="59" spans="1:7" x14ac:dyDescent="0.15">
      <c r="A59" s="141" t="s">
        <v>320</v>
      </c>
      <c r="B59">
        <v>43196.791599999997</v>
      </c>
      <c r="C59">
        <v>37.142499999999998</v>
      </c>
      <c r="D59">
        <v>37.895499999999998</v>
      </c>
      <c r="E59">
        <v>38.113100000000003</v>
      </c>
      <c r="F59">
        <v>55280.565999999999</v>
      </c>
      <c r="G59">
        <v>8.5079999999999991</v>
      </c>
    </row>
    <row r="60" spans="1:7" x14ac:dyDescent="0.15">
      <c r="A60" s="141" t="s">
        <v>321</v>
      </c>
      <c r="B60">
        <v>27848.437900000001</v>
      </c>
      <c r="C60">
        <v>32.790100000000002</v>
      </c>
      <c r="D60">
        <v>34.988999999999997</v>
      </c>
      <c r="E60">
        <v>35.350700000000003</v>
      </c>
      <c r="F60">
        <v>47928.917999999998</v>
      </c>
      <c r="G60">
        <v>7.3369999999999997</v>
      </c>
    </row>
    <row r="61" spans="1:7" x14ac:dyDescent="0.15">
      <c r="A61" s="141" t="s">
        <v>322</v>
      </c>
      <c r="B61">
        <v>75014.515199999994</v>
      </c>
      <c r="C61">
        <v>45.359099999999998</v>
      </c>
      <c r="D61">
        <v>43.674100000000003</v>
      </c>
      <c r="E61">
        <v>43.8857</v>
      </c>
      <c r="F61">
        <v>130462.43</v>
      </c>
      <c r="G61">
        <v>16.338999999999999</v>
      </c>
    </row>
    <row r="62" spans="1:7" x14ac:dyDescent="0.15">
      <c r="A62" s="141" t="s">
        <v>323</v>
      </c>
      <c r="B62">
        <v>59854.656000000003</v>
      </c>
      <c r="C62">
        <v>41.442399999999999</v>
      </c>
      <c r="D62">
        <v>40.76</v>
      </c>
      <c r="E62">
        <v>40.963700000000003</v>
      </c>
      <c r="F62">
        <v>129425.742</v>
      </c>
      <c r="G62">
        <v>15.888</v>
      </c>
    </row>
    <row r="63" spans="1:7" x14ac:dyDescent="0.15">
      <c r="A63" s="141" t="s">
        <v>324</v>
      </c>
      <c r="B63">
        <v>44453.696000000004</v>
      </c>
      <c r="C63">
        <v>36.989699999999999</v>
      </c>
      <c r="D63">
        <v>38.392899999999997</v>
      </c>
      <c r="E63">
        <v>38.689399999999999</v>
      </c>
      <c r="F63">
        <v>125420.242</v>
      </c>
      <c r="G63">
        <v>14.483000000000001</v>
      </c>
    </row>
    <row r="64" spans="1:7" x14ac:dyDescent="0.15">
      <c r="A64" s="141" t="s">
        <v>325</v>
      </c>
      <c r="B64">
        <v>31160.070400000001</v>
      </c>
      <c r="C64">
        <v>32.01</v>
      </c>
      <c r="D64">
        <v>36.189900000000002</v>
      </c>
      <c r="E64">
        <v>36.491799999999998</v>
      </c>
      <c r="F64">
        <v>118505.94500000001</v>
      </c>
      <c r="G64">
        <v>14.425000000000001</v>
      </c>
    </row>
    <row r="65" spans="1:7" x14ac:dyDescent="0.15">
      <c r="A65" s="141" t="s">
        <v>326</v>
      </c>
      <c r="B65">
        <v>78186.0288</v>
      </c>
      <c r="C65">
        <v>42.616399999999999</v>
      </c>
      <c r="D65">
        <v>43.768599999999999</v>
      </c>
      <c r="E65">
        <v>44.254800000000003</v>
      </c>
      <c r="F65">
        <v>90531.101999999999</v>
      </c>
      <c r="G65">
        <v>23.782</v>
      </c>
    </row>
    <row r="66" spans="1:7" x14ac:dyDescent="0.15">
      <c r="A66" s="141" t="s">
        <v>327</v>
      </c>
      <c r="B66">
        <v>51433.382400000002</v>
      </c>
      <c r="C66">
        <v>40.070300000000003</v>
      </c>
      <c r="D66">
        <v>41.685000000000002</v>
      </c>
      <c r="E66">
        <v>42.000700000000002</v>
      </c>
      <c r="F66">
        <v>71002</v>
      </c>
      <c r="G66">
        <v>20.853999999999999</v>
      </c>
    </row>
    <row r="67" spans="1:7" x14ac:dyDescent="0.15">
      <c r="A67" s="141" t="s">
        <v>328</v>
      </c>
      <c r="B67">
        <v>30615.8976</v>
      </c>
      <c r="C67">
        <v>37.158299999999997</v>
      </c>
      <c r="D67">
        <v>39.642499999999998</v>
      </c>
      <c r="E67">
        <v>39.7774</v>
      </c>
      <c r="F67">
        <v>51786.762000000002</v>
      </c>
      <c r="G67">
        <v>18.210999999999999</v>
      </c>
    </row>
    <row r="68" spans="1:7" x14ac:dyDescent="0.15">
      <c r="A68" s="141" t="s">
        <v>329</v>
      </c>
      <c r="B68">
        <v>16183.475200000001</v>
      </c>
      <c r="C68">
        <v>34.009500000000003</v>
      </c>
      <c r="D68">
        <v>37.250100000000003</v>
      </c>
      <c r="E68">
        <v>37.239600000000003</v>
      </c>
      <c r="F68">
        <v>33841.167999999998</v>
      </c>
      <c r="G68">
        <v>15.311</v>
      </c>
    </row>
    <row r="69" spans="1:7" x14ac:dyDescent="0.15">
      <c r="A69" s="141" t="s">
        <v>330</v>
      </c>
      <c r="B69">
        <v>47366.924800000001</v>
      </c>
      <c r="C69">
        <v>46.082299999999996</v>
      </c>
      <c r="D69">
        <v>48.1357</v>
      </c>
      <c r="E69">
        <v>48.439399999999999</v>
      </c>
      <c r="F69">
        <v>76399.804999999993</v>
      </c>
      <c r="G69">
        <v>12.919</v>
      </c>
    </row>
    <row r="70" spans="1:7" x14ac:dyDescent="0.15">
      <c r="A70" s="141" t="s">
        <v>331</v>
      </c>
      <c r="B70">
        <v>37748.371200000001</v>
      </c>
      <c r="C70">
        <v>42.383800000000001</v>
      </c>
      <c r="D70">
        <v>45.594200000000001</v>
      </c>
      <c r="E70">
        <v>45.777900000000002</v>
      </c>
      <c r="F70">
        <v>73185.733999999997</v>
      </c>
      <c r="G70">
        <v>12.301</v>
      </c>
    </row>
    <row r="71" spans="1:7" x14ac:dyDescent="0.15">
      <c r="A71" s="141" t="s">
        <v>332</v>
      </c>
      <c r="B71">
        <v>27606.8416</v>
      </c>
      <c r="C71">
        <v>38.329300000000003</v>
      </c>
      <c r="D71">
        <v>43.506599999999999</v>
      </c>
      <c r="E71">
        <v>43.603499999999997</v>
      </c>
      <c r="F71">
        <v>67355.633000000002</v>
      </c>
      <c r="G71">
        <v>11.939</v>
      </c>
    </row>
    <row r="72" spans="1:7" x14ac:dyDescent="0.15">
      <c r="A72" s="141" t="s">
        <v>333</v>
      </c>
      <c r="B72">
        <v>18890.438399999999</v>
      </c>
      <c r="C72">
        <v>33.3748</v>
      </c>
      <c r="D72">
        <v>41.497900000000001</v>
      </c>
      <c r="E72">
        <v>41.522799999999997</v>
      </c>
      <c r="F72">
        <v>60866.663999999997</v>
      </c>
      <c r="G72">
        <v>11.484999999999999</v>
      </c>
    </row>
    <row r="73" spans="1:7" x14ac:dyDescent="0.15">
      <c r="A73" s="141" t="s">
        <v>222</v>
      </c>
      <c r="B73">
        <v>15090.312</v>
      </c>
      <c r="C73">
        <v>40.071300000000001</v>
      </c>
      <c r="D73">
        <v>48.887799999999999</v>
      </c>
      <c r="E73">
        <v>46.918199999999999</v>
      </c>
      <c r="F73">
        <v>404166.32900000003</v>
      </c>
      <c r="G73">
        <v>73.489000000000004</v>
      </c>
    </row>
    <row r="74" spans="1:7" x14ac:dyDescent="0.15">
      <c r="A74" s="141" t="s">
        <v>223</v>
      </c>
      <c r="B74">
        <v>6985.2839999999997</v>
      </c>
      <c r="C74">
        <v>39.561</v>
      </c>
      <c r="D74">
        <v>48.262099999999997</v>
      </c>
      <c r="E74">
        <v>46.023600000000002</v>
      </c>
      <c r="F74">
        <v>240561.454</v>
      </c>
      <c r="G74">
        <v>66.506</v>
      </c>
    </row>
    <row r="75" spans="1:7" x14ac:dyDescent="0.15">
      <c r="A75" s="141" t="s">
        <v>224</v>
      </c>
      <c r="B75">
        <v>3775.884</v>
      </c>
      <c r="C75">
        <v>38.687199999999997</v>
      </c>
      <c r="D75">
        <v>47.211300000000001</v>
      </c>
      <c r="E75">
        <v>44.685099999999998</v>
      </c>
      <c r="F75">
        <v>139689.81</v>
      </c>
      <c r="G75">
        <v>60.390999999999998</v>
      </c>
    </row>
    <row r="76" spans="1:7" x14ac:dyDescent="0.15">
      <c r="A76" s="141" t="s">
        <v>225</v>
      </c>
      <c r="B76">
        <v>1996.732</v>
      </c>
      <c r="C76">
        <v>37.152900000000002</v>
      </c>
      <c r="D76">
        <v>45.944699999999997</v>
      </c>
      <c r="E76">
        <v>43.008600000000001</v>
      </c>
      <c r="F76">
        <v>80540.145000000004</v>
      </c>
      <c r="G76">
        <v>55.924999999999997</v>
      </c>
    </row>
    <row r="77" spans="1:7" x14ac:dyDescent="0.15">
      <c r="A77" s="141" t="s">
        <v>226</v>
      </c>
      <c r="B77">
        <v>78880.347999999998</v>
      </c>
      <c r="C77">
        <v>41.558100000000003</v>
      </c>
      <c r="D77">
        <v>36.293500000000002</v>
      </c>
      <c r="E77">
        <v>37.382300000000001</v>
      </c>
      <c r="F77">
        <v>695594.005</v>
      </c>
      <c r="G77">
        <v>81.557000000000002</v>
      </c>
    </row>
    <row r="78" spans="1:7" x14ac:dyDescent="0.15">
      <c r="A78" s="141" t="s">
        <v>227</v>
      </c>
      <c r="B78">
        <v>40887.987999999998</v>
      </c>
      <c r="C78">
        <v>38.9499</v>
      </c>
      <c r="D78">
        <v>34.3215</v>
      </c>
      <c r="E78">
        <v>35.638599999999997</v>
      </c>
      <c r="F78">
        <v>472244.26699999999</v>
      </c>
      <c r="G78">
        <v>70.879000000000005</v>
      </c>
    </row>
    <row r="79" spans="1:7" x14ac:dyDescent="0.15">
      <c r="A79" s="141" t="s">
        <v>228</v>
      </c>
      <c r="B79">
        <v>19238.28</v>
      </c>
      <c r="C79">
        <v>36.034799999999997</v>
      </c>
      <c r="D79">
        <v>32.5715</v>
      </c>
      <c r="E79">
        <v>34.089500000000001</v>
      </c>
      <c r="F79">
        <v>302974.09899999999</v>
      </c>
      <c r="G79">
        <v>63.805999999999997</v>
      </c>
    </row>
    <row r="80" spans="1:7" x14ac:dyDescent="0.15">
      <c r="A80" s="141" t="s">
        <v>229</v>
      </c>
      <c r="B80">
        <v>7878.3559999999998</v>
      </c>
      <c r="C80">
        <v>32.9529</v>
      </c>
      <c r="D80">
        <v>30.959399999999999</v>
      </c>
      <c r="E80">
        <v>32.685099999999998</v>
      </c>
      <c r="F80">
        <v>180382.29500000001</v>
      </c>
      <c r="G80">
        <v>58.466999999999999</v>
      </c>
    </row>
    <row r="81" spans="1:7" x14ac:dyDescent="0.15">
      <c r="A81" s="141" t="s">
        <v>230</v>
      </c>
      <c r="B81">
        <v>39482.508000000002</v>
      </c>
      <c r="C81">
        <v>38.2943</v>
      </c>
      <c r="D81">
        <v>40.311399999999999</v>
      </c>
      <c r="E81">
        <v>41.366599999999998</v>
      </c>
      <c r="F81">
        <v>410712.13500000001</v>
      </c>
      <c r="G81">
        <v>44.301000000000002</v>
      </c>
    </row>
    <row r="82" spans="1:7" x14ac:dyDescent="0.15">
      <c r="A82" s="141" t="s">
        <v>231</v>
      </c>
      <c r="B82">
        <v>19140.248</v>
      </c>
      <c r="C82">
        <v>37.161900000000003</v>
      </c>
      <c r="D82">
        <v>37.789299999999997</v>
      </c>
      <c r="E82">
        <v>40.0062</v>
      </c>
      <c r="F82">
        <v>247182.95300000001</v>
      </c>
      <c r="G82">
        <v>37.429000000000002</v>
      </c>
    </row>
    <row r="83" spans="1:7" x14ac:dyDescent="0.15">
      <c r="A83" s="141" t="s">
        <v>232</v>
      </c>
      <c r="B83">
        <v>9461.1880000000001</v>
      </c>
      <c r="C83">
        <v>35.768000000000001</v>
      </c>
      <c r="D83">
        <v>35.586199999999998</v>
      </c>
      <c r="E83">
        <v>38.644799999999996</v>
      </c>
      <c r="F83">
        <v>155922.67300000001</v>
      </c>
      <c r="G83">
        <v>32.482999999999997</v>
      </c>
    </row>
    <row r="84" spans="1:7" x14ac:dyDescent="0.15">
      <c r="A84" s="141" t="s">
        <v>233</v>
      </c>
      <c r="B84">
        <v>4788.9840000000004</v>
      </c>
      <c r="C84">
        <v>33.9161</v>
      </c>
      <c r="D84">
        <v>33.714100000000002</v>
      </c>
      <c r="E84">
        <v>37.153199999999998</v>
      </c>
      <c r="F84">
        <v>96044.536999999997</v>
      </c>
      <c r="G84">
        <v>26.741</v>
      </c>
    </row>
    <row r="85" spans="1:7" x14ac:dyDescent="0.15">
      <c r="A85" s="141" t="s">
        <v>234</v>
      </c>
      <c r="B85">
        <v>25984.256000000001</v>
      </c>
      <c r="C85">
        <v>37.6006</v>
      </c>
      <c r="D85">
        <v>45.102800000000002</v>
      </c>
      <c r="E85">
        <v>42.770699999999998</v>
      </c>
      <c r="F85">
        <v>549592.52500000002</v>
      </c>
      <c r="G85">
        <v>76.456000000000003</v>
      </c>
    </row>
    <row r="86" spans="1:7" x14ac:dyDescent="0.15">
      <c r="A86" s="141" t="s">
        <v>235</v>
      </c>
      <c r="B86">
        <v>9383.616</v>
      </c>
      <c r="C86">
        <v>37.027900000000002</v>
      </c>
      <c r="D86">
        <v>44.474800000000002</v>
      </c>
      <c r="E86">
        <v>42.097000000000001</v>
      </c>
      <c r="F86">
        <v>299829.36099999998</v>
      </c>
      <c r="G86">
        <v>63.67</v>
      </c>
    </row>
    <row r="87" spans="1:7" x14ac:dyDescent="0.15">
      <c r="A87" s="141" t="s">
        <v>236</v>
      </c>
      <c r="B87">
        <v>4610.4639999999999</v>
      </c>
      <c r="C87">
        <v>36.154000000000003</v>
      </c>
      <c r="D87">
        <v>43.526499999999999</v>
      </c>
      <c r="E87">
        <v>41.1021</v>
      </c>
      <c r="F87">
        <v>170351.201</v>
      </c>
      <c r="G87">
        <v>52.639000000000003</v>
      </c>
    </row>
    <row r="88" spans="1:7" x14ac:dyDescent="0.15">
      <c r="A88" s="141" t="s">
        <v>237</v>
      </c>
      <c r="B88">
        <v>2238.3359999999998</v>
      </c>
      <c r="C88">
        <v>34.665700000000001</v>
      </c>
      <c r="D88">
        <v>42.2271</v>
      </c>
      <c r="E88">
        <v>39.838500000000003</v>
      </c>
      <c r="F88">
        <v>92702.775999999998</v>
      </c>
      <c r="G88">
        <v>44.463999999999999</v>
      </c>
    </row>
    <row r="89" spans="1:7" x14ac:dyDescent="0.15">
      <c r="A89" s="141" t="s">
        <v>118</v>
      </c>
      <c r="B89">
        <v>10209.892</v>
      </c>
      <c r="C89">
        <v>37.9636</v>
      </c>
      <c r="D89">
        <v>39.725700000000003</v>
      </c>
      <c r="E89">
        <v>43.103000000000002</v>
      </c>
      <c r="F89">
        <v>126542.952</v>
      </c>
      <c r="G89">
        <v>15.59</v>
      </c>
    </row>
    <row r="90" spans="1:7" x14ac:dyDescent="0.15">
      <c r="A90" s="141" t="s">
        <v>119</v>
      </c>
      <c r="B90">
        <v>4807.3680000000004</v>
      </c>
      <c r="C90">
        <v>36.8581</v>
      </c>
      <c r="D90">
        <v>39.166400000000003</v>
      </c>
      <c r="E90">
        <v>41.971699999999998</v>
      </c>
      <c r="F90">
        <v>75770.73</v>
      </c>
      <c r="G90">
        <v>12.603999999999999</v>
      </c>
    </row>
    <row r="91" spans="1:7" x14ac:dyDescent="0.15">
      <c r="A91" s="141" t="s">
        <v>120</v>
      </c>
      <c r="B91">
        <v>2428.08</v>
      </c>
      <c r="C91">
        <v>35.255200000000002</v>
      </c>
      <c r="D91">
        <v>38.432899999999997</v>
      </c>
      <c r="E91">
        <v>40.5931</v>
      </c>
      <c r="F91">
        <v>47140.057000000001</v>
      </c>
      <c r="G91">
        <v>11.038</v>
      </c>
    </row>
    <row r="92" spans="1:7" x14ac:dyDescent="0.15">
      <c r="A92" s="141" t="s">
        <v>121</v>
      </c>
      <c r="B92">
        <v>1135.7760000000001</v>
      </c>
      <c r="C92">
        <v>33.002099999999999</v>
      </c>
      <c r="D92">
        <v>37.358899999999998</v>
      </c>
      <c r="E92">
        <v>38.86</v>
      </c>
      <c r="F92">
        <v>27744.538</v>
      </c>
      <c r="G92">
        <v>10.079000000000001</v>
      </c>
    </row>
    <row r="93" spans="1:7" x14ac:dyDescent="0.15">
      <c r="A93" s="141" t="s">
        <v>122</v>
      </c>
      <c r="B93">
        <v>8956.2440000000006</v>
      </c>
      <c r="C93">
        <v>38.8932</v>
      </c>
      <c r="D93">
        <v>43.912700000000001</v>
      </c>
      <c r="E93">
        <v>45.0364</v>
      </c>
      <c r="F93">
        <v>129273.939</v>
      </c>
      <c r="G93">
        <v>17.625</v>
      </c>
    </row>
    <row r="94" spans="1:7" x14ac:dyDescent="0.15">
      <c r="A94" s="141" t="s">
        <v>123</v>
      </c>
      <c r="B94">
        <v>4453.5720000000001</v>
      </c>
      <c r="C94">
        <v>37.836399999999998</v>
      </c>
      <c r="D94">
        <v>43.061999999999998</v>
      </c>
      <c r="E94">
        <v>43.591799999999999</v>
      </c>
      <c r="F94">
        <v>81599.366999999998</v>
      </c>
      <c r="G94">
        <v>15.532</v>
      </c>
    </row>
    <row r="95" spans="1:7" x14ac:dyDescent="0.15">
      <c r="A95" s="141" t="s">
        <v>124</v>
      </c>
      <c r="B95">
        <v>2266.9839999999999</v>
      </c>
      <c r="C95">
        <v>36.320399999999999</v>
      </c>
      <c r="D95">
        <v>41.960999999999999</v>
      </c>
      <c r="E95">
        <v>41.917900000000003</v>
      </c>
      <c r="F95">
        <v>48995.991000000002</v>
      </c>
      <c r="G95">
        <v>13.343999999999999</v>
      </c>
    </row>
    <row r="96" spans="1:7" x14ac:dyDescent="0.15">
      <c r="A96" s="141" t="s">
        <v>125</v>
      </c>
      <c r="B96">
        <v>1117.2840000000001</v>
      </c>
      <c r="C96">
        <v>34.247199999999999</v>
      </c>
      <c r="D96">
        <v>40.576300000000003</v>
      </c>
      <c r="E96">
        <v>40.035499999999999</v>
      </c>
      <c r="F96">
        <v>29044.882000000001</v>
      </c>
      <c r="G96">
        <v>11.074999999999999</v>
      </c>
    </row>
    <row r="97" spans="1:7" x14ac:dyDescent="0.15">
      <c r="A97" s="141" t="s">
        <v>238</v>
      </c>
      <c r="B97">
        <v>7006.12</v>
      </c>
      <c r="C97">
        <v>39.642499999999998</v>
      </c>
      <c r="D97">
        <v>43.6462</v>
      </c>
      <c r="E97">
        <v>44.8414</v>
      </c>
      <c r="F97">
        <v>118128.122</v>
      </c>
      <c r="G97">
        <v>18.25</v>
      </c>
    </row>
    <row r="98" spans="1:7" x14ac:dyDescent="0.15">
      <c r="A98" s="141" t="s">
        <v>239</v>
      </c>
      <c r="B98">
        <v>3287.0839999999998</v>
      </c>
      <c r="C98">
        <v>38.437199999999997</v>
      </c>
      <c r="D98">
        <v>42.877600000000001</v>
      </c>
      <c r="E98">
        <v>44.168999999999997</v>
      </c>
      <c r="F98">
        <v>72930.350999999995</v>
      </c>
      <c r="G98">
        <v>15.632</v>
      </c>
    </row>
    <row r="99" spans="1:7" x14ac:dyDescent="0.15">
      <c r="A99" s="141" t="s">
        <v>240</v>
      </c>
      <c r="B99">
        <v>1561.2080000000001</v>
      </c>
      <c r="C99">
        <v>36.723399999999998</v>
      </c>
      <c r="D99">
        <v>41.829099999999997</v>
      </c>
      <c r="E99">
        <v>43.150500000000001</v>
      </c>
      <c r="F99">
        <v>42247.322</v>
      </c>
      <c r="G99">
        <v>14.215999999999999</v>
      </c>
    </row>
    <row r="100" spans="1:7" x14ac:dyDescent="0.15">
      <c r="A100" s="141" t="s">
        <v>241</v>
      </c>
      <c r="B100">
        <v>701.46</v>
      </c>
      <c r="C100">
        <v>34.487900000000003</v>
      </c>
      <c r="D100">
        <v>40.596699999999998</v>
      </c>
      <c r="E100">
        <v>41.775700000000001</v>
      </c>
      <c r="F100">
        <v>23111.772000000001</v>
      </c>
      <c r="G100">
        <v>11.782999999999999</v>
      </c>
    </row>
    <row r="101" spans="1:7" x14ac:dyDescent="0.15">
      <c r="A101" s="141" t="s">
        <v>242</v>
      </c>
      <c r="B101">
        <v>5884.2039999999997</v>
      </c>
      <c r="C101">
        <v>44.780500000000004</v>
      </c>
      <c r="D101">
        <v>47.137999999999998</v>
      </c>
      <c r="E101">
        <v>48.1004</v>
      </c>
      <c r="F101">
        <v>98174.97</v>
      </c>
      <c r="G101">
        <v>18.234000000000002</v>
      </c>
    </row>
    <row r="102" spans="1:7" x14ac:dyDescent="0.15">
      <c r="A102" s="141" t="s">
        <v>243</v>
      </c>
      <c r="B102">
        <v>3597.8960000000002</v>
      </c>
      <c r="C102">
        <v>42.526299999999999</v>
      </c>
      <c r="D102">
        <v>45.558900000000001</v>
      </c>
      <c r="E102">
        <v>46.319600000000001</v>
      </c>
      <c r="F102">
        <v>71340.346000000005</v>
      </c>
      <c r="G102">
        <v>15.842000000000001</v>
      </c>
    </row>
    <row r="103" spans="1:7" x14ac:dyDescent="0.15">
      <c r="A103" s="141" t="s">
        <v>244</v>
      </c>
      <c r="B103">
        <v>1996.008</v>
      </c>
      <c r="C103">
        <v>39.698300000000003</v>
      </c>
      <c r="D103">
        <v>43.895699999999998</v>
      </c>
      <c r="E103">
        <v>44.397799999999997</v>
      </c>
      <c r="F103">
        <v>47925.77</v>
      </c>
      <c r="G103">
        <v>13.723000000000001</v>
      </c>
    </row>
    <row r="104" spans="1:7" x14ac:dyDescent="0.15">
      <c r="A104" s="141" t="s">
        <v>245</v>
      </c>
      <c r="B104">
        <v>1008.936</v>
      </c>
      <c r="C104">
        <v>36.496000000000002</v>
      </c>
      <c r="D104">
        <v>42.233400000000003</v>
      </c>
      <c r="E104">
        <v>42.458500000000001</v>
      </c>
      <c r="F104">
        <v>29512.55</v>
      </c>
      <c r="G104">
        <v>11.489000000000001</v>
      </c>
    </row>
    <row r="105" spans="1:7" x14ac:dyDescent="0.15">
      <c r="A105" s="141" t="s">
        <v>126</v>
      </c>
      <c r="B105">
        <v>4244.1880000000001</v>
      </c>
      <c r="C105">
        <v>38.509500000000003</v>
      </c>
      <c r="D105">
        <v>45.811399999999999</v>
      </c>
      <c r="E105">
        <v>46.033999999999999</v>
      </c>
      <c r="F105">
        <v>54609.707000000002</v>
      </c>
      <c r="G105">
        <v>7.6020000000000003</v>
      </c>
    </row>
    <row r="106" spans="1:7" x14ac:dyDescent="0.15">
      <c r="A106" s="141" t="s">
        <v>127</v>
      </c>
      <c r="B106">
        <v>1802.4839999999999</v>
      </c>
      <c r="C106">
        <v>36.897500000000001</v>
      </c>
      <c r="D106">
        <v>44.584200000000003</v>
      </c>
      <c r="E106">
        <v>44.810899999999997</v>
      </c>
      <c r="F106">
        <v>29943.851999999999</v>
      </c>
      <c r="G106">
        <v>6.0209999999999999</v>
      </c>
    </row>
    <row r="107" spans="1:7" x14ac:dyDescent="0.15">
      <c r="A107" s="141" t="s">
        <v>128</v>
      </c>
      <c r="B107">
        <v>828.13199999999995</v>
      </c>
      <c r="C107">
        <v>34.89</v>
      </c>
      <c r="D107">
        <v>43.183799999999998</v>
      </c>
      <c r="E107">
        <v>43.377899999999997</v>
      </c>
      <c r="F107">
        <v>16873.983</v>
      </c>
      <c r="G107">
        <v>5.0999999999999996</v>
      </c>
    </row>
    <row r="108" spans="1:7" x14ac:dyDescent="0.15">
      <c r="A108" s="141" t="s">
        <v>129</v>
      </c>
      <c r="B108">
        <v>396.77600000000001</v>
      </c>
      <c r="C108">
        <v>32.285899999999998</v>
      </c>
      <c r="D108">
        <v>41.229500000000002</v>
      </c>
      <c r="E108">
        <v>41.601900000000001</v>
      </c>
      <c r="F108">
        <v>9485.69</v>
      </c>
      <c r="G108">
        <v>4.4710000000000001</v>
      </c>
    </row>
    <row r="109" spans="1:7" x14ac:dyDescent="0.15">
      <c r="A109" s="141" t="s">
        <v>130</v>
      </c>
      <c r="B109">
        <v>2519.36</v>
      </c>
      <c r="C109">
        <v>40.575499999999998</v>
      </c>
      <c r="D109">
        <v>45.993400000000001</v>
      </c>
      <c r="E109">
        <v>47.140099999999997</v>
      </c>
      <c r="F109">
        <v>45303.548000000003</v>
      </c>
      <c r="G109">
        <v>7.782</v>
      </c>
    </row>
    <row r="110" spans="1:7" x14ac:dyDescent="0.15">
      <c r="A110" s="141" t="s">
        <v>131</v>
      </c>
      <c r="B110">
        <v>1155.992</v>
      </c>
      <c r="C110">
        <v>39.448999999999998</v>
      </c>
      <c r="D110">
        <v>45.360599999999998</v>
      </c>
      <c r="E110">
        <v>45.9056</v>
      </c>
      <c r="F110">
        <v>25904.314999999999</v>
      </c>
      <c r="G110">
        <v>6.3959999999999999</v>
      </c>
    </row>
    <row r="111" spans="1:7" x14ac:dyDescent="0.15">
      <c r="A111" s="141" t="s">
        <v>132</v>
      </c>
      <c r="B111">
        <v>544.43600000000004</v>
      </c>
      <c r="C111">
        <v>37.886200000000002</v>
      </c>
      <c r="D111">
        <v>44.490400000000001</v>
      </c>
      <c r="E111">
        <v>44.259500000000003</v>
      </c>
      <c r="F111">
        <v>14701.147999999999</v>
      </c>
      <c r="G111">
        <v>5.4420000000000002</v>
      </c>
    </row>
    <row r="112" spans="1:7" x14ac:dyDescent="0.15">
      <c r="A112" s="141" t="s">
        <v>133</v>
      </c>
      <c r="B112">
        <v>246.05600000000001</v>
      </c>
      <c r="C112">
        <v>35.757199999999997</v>
      </c>
      <c r="D112">
        <v>43.270400000000002</v>
      </c>
      <c r="E112">
        <v>42.315600000000003</v>
      </c>
      <c r="F112">
        <v>8389.0499999999993</v>
      </c>
      <c r="G112">
        <v>4.9950000000000001</v>
      </c>
    </row>
    <row r="113" spans="1:7" x14ac:dyDescent="0.15">
      <c r="A113" s="141" t="s">
        <v>134</v>
      </c>
      <c r="B113">
        <v>968.84400000000005</v>
      </c>
      <c r="C113">
        <v>43.463799999999999</v>
      </c>
      <c r="D113">
        <v>47.0764</v>
      </c>
      <c r="E113">
        <v>48.110700000000001</v>
      </c>
      <c r="F113">
        <v>20484.435000000001</v>
      </c>
      <c r="G113">
        <v>5.2359999999999998</v>
      </c>
    </row>
    <row r="114" spans="1:7" x14ac:dyDescent="0.15">
      <c r="A114" s="141" t="s">
        <v>135</v>
      </c>
      <c r="B114">
        <v>527.29600000000005</v>
      </c>
      <c r="C114">
        <v>42.16</v>
      </c>
      <c r="D114">
        <v>46.240499999999997</v>
      </c>
      <c r="E114">
        <v>47.037199999999999</v>
      </c>
      <c r="F114">
        <v>12432.995999999999</v>
      </c>
      <c r="G114">
        <v>4.968</v>
      </c>
    </row>
    <row r="115" spans="1:7" x14ac:dyDescent="0.15">
      <c r="A115" s="141" t="s">
        <v>136</v>
      </c>
      <c r="B115">
        <v>301.28800000000001</v>
      </c>
      <c r="C115">
        <v>40.3705</v>
      </c>
      <c r="D115">
        <v>45.180599999999998</v>
      </c>
      <c r="E115">
        <v>45.694499999999998</v>
      </c>
      <c r="F115">
        <v>7825.9840000000004</v>
      </c>
      <c r="G115">
        <v>4.8289999999999997</v>
      </c>
    </row>
    <row r="116" spans="1:7" x14ac:dyDescent="0.15">
      <c r="A116" s="141" t="s">
        <v>137</v>
      </c>
      <c r="B116">
        <v>167.68</v>
      </c>
      <c r="C116">
        <v>37.780099999999997</v>
      </c>
      <c r="D116">
        <v>43.293100000000003</v>
      </c>
      <c r="E116">
        <v>43.632399999999997</v>
      </c>
      <c r="F116">
        <v>5287.942</v>
      </c>
      <c r="G116">
        <v>4.7489999999999997</v>
      </c>
    </row>
    <row r="117" spans="1:7" x14ac:dyDescent="0.15">
      <c r="A117" s="141" t="s">
        <v>138</v>
      </c>
      <c r="B117">
        <v>1375.2639999999999</v>
      </c>
      <c r="C117">
        <v>42.820300000000003</v>
      </c>
      <c r="D117">
        <v>48.660400000000003</v>
      </c>
      <c r="E117">
        <v>48.390999999999998</v>
      </c>
      <c r="F117">
        <v>22832.786</v>
      </c>
      <c r="G117">
        <v>5.3579999999999997</v>
      </c>
    </row>
    <row r="118" spans="1:7" x14ac:dyDescent="0.15">
      <c r="A118" s="141" t="s">
        <v>139</v>
      </c>
      <c r="B118">
        <v>743.24800000000005</v>
      </c>
      <c r="C118">
        <v>41.526499999999999</v>
      </c>
      <c r="D118">
        <v>47.759</v>
      </c>
      <c r="E118">
        <v>47.27</v>
      </c>
      <c r="F118">
        <v>13904.482</v>
      </c>
      <c r="G118">
        <v>4.8600000000000003</v>
      </c>
    </row>
    <row r="119" spans="1:7" x14ac:dyDescent="0.15">
      <c r="A119" s="141" t="s">
        <v>140</v>
      </c>
      <c r="B119">
        <v>417.16399999999999</v>
      </c>
      <c r="C119">
        <v>39.627299999999998</v>
      </c>
      <c r="D119">
        <v>46.642899999999997</v>
      </c>
      <c r="E119">
        <v>45.664299999999997</v>
      </c>
      <c r="F119">
        <v>9008.7800000000007</v>
      </c>
      <c r="G119">
        <v>4.7569999999999997</v>
      </c>
    </row>
    <row r="120" spans="1:7" x14ac:dyDescent="0.15">
      <c r="A120" s="141" t="s">
        <v>141</v>
      </c>
      <c r="B120">
        <v>227.18799999999999</v>
      </c>
      <c r="C120">
        <v>36.866100000000003</v>
      </c>
      <c r="D120">
        <v>45.136699999999998</v>
      </c>
      <c r="E120">
        <v>43.150599999999997</v>
      </c>
      <c r="F120">
        <v>6047.9589999999998</v>
      </c>
      <c r="G120">
        <v>4.7050000000000001</v>
      </c>
    </row>
    <row r="121" spans="1:7" x14ac:dyDescent="0.15">
      <c r="A121" s="141" t="s">
        <v>246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15">
      <c r="A122" s="141" t="s">
        <v>247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15">
      <c r="A123" s="141" t="s">
        <v>248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15">
      <c r="A124" s="141" t="s">
        <v>249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15">
      <c r="A125" s="141" t="s">
        <v>250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15">
      <c r="A126" s="141" t="s">
        <v>251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15">
      <c r="A127" s="141" t="s">
        <v>252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15">
      <c r="A128" s="141" t="s">
        <v>253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15">
      <c r="A129" s="141" t="s">
        <v>334</v>
      </c>
      <c r="B129">
        <v>25713.504000000001</v>
      </c>
      <c r="C129">
        <v>40.224800000000002</v>
      </c>
      <c r="D129">
        <v>40.683799999999998</v>
      </c>
      <c r="E129">
        <v>40.753100000000003</v>
      </c>
      <c r="F129">
        <v>261620.674</v>
      </c>
      <c r="G129">
        <v>21.47</v>
      </c>
    </row>
    <row r="130" spans="1:7" x14ac:dyDescent="0.15">
      <c r="A130" s="141" t="s">
        <v>335</v>
      </c>
      <c r="B130">
        <v>15820.484</v>
      </c>
      <c r="C130">
        <v>37.425199999999997</v>
      </c>
      <c r="D130">
        <v>38.1708</v>
      </c>
      <c r="E130">
        <v>38.245699999999999</v>
      </c>
      <c r="F130">
        <v>208960.111</v>
      </c>
      <c r="G130">
        <v>19.2</v>
      </c>
    </row>
    <row r="131" spans="1:7" x14ac:dyDescent="0.15">
      <c r="A131" s="141" t="s">
        <v>336</v>
      </c>
      <c r="B131">
        <v>9113.0519999999997</v>
      </c>
      <c r="C131">
        <v>34.054099999999998</v>
      </c>
      <c r="D131">
        <v>35.987699999999997</v>
      </c>
      <c r="E131">
        <v>36.145000000000003</v>
      </c>
      <c r="F131">
        <v>156478.71900000001</v>
      </c>
      <c r="G131">
        <v>18.021999999999998</v>
      </c>
    </row>
    <row r="132" spans="1:7" x14ac:dyDescent="0.15">
      <c r="A132" s="141" t="s">
        <v>337</v>
      </c>
      <c r="B132">
        <v>4819.6959999999999</v>
      </c>
      <c r="C132">
        <v>30.295100000000001</v>
      </c>
      <c r="D132">
        <v>33.898699999999998</v>
      </c>
      <c r="E132">
        <v>34.097099999999998</v>
      </c>
      <c r="F132">
        <v>106774.42200000001</v>
      </c>
      <c r="G132">
        <v>15.986000000000001</v>
      </c>
    </row>
    <row r="133" spans="1:7" x14ac:dyDescent="0.15">
      <c r="A133" s="141" t="s">
        <v>338</v>
      </c>
      <c r="B133">
        <v>3908.192</v>
      </c>
      <c r="C133">
        <v>46.221200000000003</v>
      </c>
      <c r="D133">
        <v>45.826700000000002</v>
      </c>
      <c r="E133">
        <v>45.762300000000003</v>
      </c>
      <c r="F133">
        <v>44410.430999999997</v>
      </c>
      <c r="G133">
        <v>7.6280000000000001</v>
      </c>
    </row>
    <row r="134" spans="1:7" x14ac:dyDescent="0.15">
      <c r="A134" s="141" t="s">
        <v>339</v>
      </c>
      <c r="B134">
        <v>2912.2280000000001</v>
      </c>
      <c r="C134">
        <v>43.372700000000002</v>
      </c>
      <c r="D134">
        <v>42.3459</v>
      </c>
      <c r="E134">
        <v>42.389000000000003</v>
      </c>
      <c r="F134">
        <v>40159.836000000003</v>
      </c>
      <c r="G134">
        <v>7.4749999999999996</v>
      </c>
    </row>
    <row r="135" spans="1:7" x14ac:dyDescent="0.15">
      <c r="A135" s="141" t="s">
        <v>340</v>
      </c>
      <c r="B135">
        <v>2152.6759999999999</v>
      </c>
      <c r="C135">
        <v>39.427799999999998</v>
      </c>
      <c r="D135">
        <v>39.383200000000002</v>
      </c>
      <c r="E135">
        <v>39.428400000000003</v>
      </c>
      <c r="F135">
        <v>34938.709000000003</v>
      </c>
      <c r="G135">
        <v>7.133</v>
      </c>
    </row>
    <row r="136" spans="1:7" x14ac:dyDescent="0.15">
      <c r="A136" s="141" t="s">
        <v>341</v>
      </c>
      <c r="B136">
        <v>1497.54</v>
      </c>
      <c r="C136">
        <v>34.224200000000003</v>
      </c>
      <c r="D136">
        <v>36.4953</v>
      </c>
      <c r="E136">
        <v>36.636899999999997</v>
      </c>
      <c r="F136">
        <v>29461.447</v>
      </c>
      <c r="G136">
        <v>6.9489999999999998</v>
      </c>
    </row>
    <row r="137" spans="1:7" x14ac:dyDescent="0.15">
      <c r="A137" s="141" t="s">
        <v>342</v>
      </c>
      <c r="B137">
        <v>9199.3520000000008</v>
      </c>
      <c r="C137">
        <v>41.379300000000001</v>
      </c>
      <c r="D137">
        <v>43.576999999999998</v>
      </c>
      <c r="E137">
        <v>44.043999999999997</v>
      </c>
      <c r="F137">
        <v>115563.014</v>
      </c>
      <c r="G137">
        <v>16.074000000000002</v>
      </c>
    </row>
    <row r="138" spans="1:7" x14ac:dyDescent="0.15">
      <c r="A138" s="141" t="s">
        <v>343</v>
      </c>
      <c r="B138">
        <v>4951.32</v>
      </c>
      <c r="C138">
        <v>39.086100000000002</v>
      </c>
      <c r="D138">
        <v>41.796199999999999</v>
      </c>
      <c r="E138">
        <v>42.137500000000003</v>
      </c>
      <c r="F138">
        <v>79060.182000000001</v>
      </c>
      <c r="G138">
        <v>14.016</v>
      </c>
    </row>
    <row r="139" spans="1:7" x14ac:dyDescent="0.15">
      <c r="A139" s="141" t="s">
        <v>344</v>
      </c>
      <c r="B139">
        <v>2457.2600000000002</v>
      </c>
      <c r="C139">
        <v>36.537100000000002</v>
      </c>
      <c r="D139">
        <v>39.892000000000003</v>
      </c>
      <c r="E139">
        <v>40.063400000000001</v>
      </c>
      <c r="F139">
        <v>50756.163</v>
      </c>
      <c r="G139">
        <v>12.548</v>
      </c>
    </row>
    <row r="140" spans="1:7" x14ac:dyDescent="0.15">
      <c r="A140" s="141" t="s">
        <v>345</v>
      </c>
      <c r="B140">
        <v>1142.056</v>
      </c>
      <c r="C140">
        <v>33.718299999999999</v>
      </c>
      <c r="D140">
        <v>37.679000000000002</v>
      </c>
      <c r="E140">
        <v>37.6995</v>
      </c>
      <c r="F140">
        <v>31045.687999999998</v>
      </c>
      <c r="G140">
        <v>11.503</v>
      </c>
    </row>
    <row r="141" spans="1:7" x14ac:dyDescent="0.15">
      <c r="A141" s="141" t="s">
        <v>346</v>
      </c>
      <c r="B141">
        <v>1524.2</v>
      </c>
      <c r="C141">
        <v>48.084000000000003</v>
      </c>
      <c r="D141">
        <v>49.746600000000001</v>
      </c>
      <c r="E141">
        <v>50.17</v>
      </c>
      <c r="F141">
        <v>19571.257000000001</v>
      </c>
      <c r="G141">
        <v>8.1609999999999996</v>
      </c>
    </row>
    <row r="142" spans="1:7" x14ac:dyDescent="0.15">
      <c r="A142" s="141" t="s">
        <v>347</v>
      </c>
      <c r="B142">
        <v>1101.136</v>
      </c>
      <c r="C142">
        <v>45.2042</v>
      </c>
      <c r="D142">
        <v>47.225000000000001</v>
      </c>
      <c r="E142">
        <v>47.502800000000001</v>
      </c>
      <c r="F142">
        <v>16161.004999999999</v>
      </c>
      <c r="G142">
        <v>8.1069999999999993</v>
      </c>
    </row>
    <row r="143" spans="1:7" x14ac:dyDescent="0.15">
      <c r="A143" s="141" t="s">
        <v>348</v>
      </c>
      <c r="B143">
        <v>768.952</v>
      </c>
      <c r="C143">
        <v>41.358400000000003</v>
      </c>
      <c r="D143">
        <v>44.807899999999997</v>
      </c>
      <c r="E143">
        <v>45.006599999999999</v>
      </c>
      <c r="F143">
        <v>13240.638999999999</v>
      </c>
      <c r="G143">
        <v>8.4969999999999999</v>
      </c>
    </row>
    <row r="144" spans="1:7" x14ac:dyDescent="0.15">
      <c r="A144" s="141" t="s">
        <v>349</v>
      </c>
      <c r="B144">
        <v>512.44000000000005</v>
      </c>
      <c r="C144">
        <v>36.6126</v>
      </c>
      <c r="D144">
        <v>42.305700000000002</v>
      </c>
      <c r="E144">
        <v>42.4069</v>
      </c>
      <c r="F144">
        <v>11256.999</v>
      </c>
      <c r="G144">
        <v>8.798</v>
      </c>
    </row>
    <row r="145" spans="1:7" x14ac:dyDescent="0.15">
      <c r="A145" s="141" t="s">
        <v>254</v>
      </c>
      <c r="B145">
        <v>17390.16</v>
      </c>
      <c r="C145">
        <v>40.1492</v>
      </c>
      <c r="D145">
        <v>48.536700000000003</v>
      </c>
      <c r="E145">
        <v>46.381700000000002</v>
      </c>
      <c r="F145">
        <v>240649.625</v>
      </c>
      <c r="G145">
        <v>36.276000000000003</v>
      </c>
    </row>
    <row r="146" spans="1:7" x14ac:dyDescent="0.15">
      <c r="A146" s="141" t="s">
        <v>255</v>
      </c>
      <c r="B146">
        <v>8764.9519999999993</v>
      </c>
      <c r="C146">
        <v>39.529299999999999</v>
      </c>
      <c r="D146">
        <v>47.650300000000001</v>
      </c>
      <c r="E146">
        <v>45.224899999999998</v>
      </c>
      <c r="F146">
        <v>145474.20300000001</v>
      </c>
      <c r="G146">
        <v>32.582000000000001</v>
      </c>
    </row>
    <row r="147" spans="1:7" x14ac:dyDescent="0.15">
      <c r="A147" s="141" t="s">
        <v>256</v>
      </c>
      <c r="B147">
        <v>4775.9040000000005</v>
      </c>
      <c r="C147">
        <v>38.508699999999997</v>
      </c>
      <c r="D147">
        <v>46.487900000000003</v>
      </c>
      <c r="E147">
        <v>43.8018</v>
      </c>
      <c r="F147">
        <v>89047.18</v>
      </c>
      <c r="G147">
        <v>27.263999999999999</v>
      </c>
    </row>
    <row r="148" spans="1:7" x14ac:dyDescent="0.15">
      <c r="A148" s="141" t="s">
        <v>257</v>
      </c>
      <c r="B148">
        <v>2600.2240000000002</v>
      </c>
      <c r="C148">
        <v>36.921599999999998</v>
      </c>
      <c r="D148">
        <v>45.1081</v>
      </c>
      <c r="E148">
        <v>42.219700000000003</v>
      </c>
      <c r="F148">
        <v>53412.652000000002</v>
      </c>
      <c r="G148">
        <v>23.396999999999998</v>
      </c>
    </row>
    <row r="149" spans="1:7" x14ac:dyDescent="0.15">
      <c r="A149" s="141" t="s">
        <v>258</v>
      </c>
      <c r="B149">
        <v>95332.911999999997</v>
      </c>
      <c r="C149">
        <v>41.636000000000003</v>
      </c>
      <c r="D149">
        <v>36.474400000000003</v>
      </c>
      <c r="E149">
        <v>37.469700000000003</v>
      </c>
      <c r="F149">
        <v>405117.53100000002</v>
      </c>
      <c r="G149">
        <v>38.759</v>
      </c>
    </row>
    <row r="150" spans="1:7" x14ac:dyDescent="0.15">
      <c r="A150" s="141" t="s">
        <v>259</v>
      </c>
      <c r="B150">
        <v>48968.552000000003</v>
      </c>
      <c r="C150">
        <v>38.847999999999999</v>
      </c>
      <c r="D150">
        <v>34.132800000000003</v>
      </c>
      <c r="E150">
        <v>35.4619</v>
      </c>
      <c r="F150">
        <v>286750.93800000002</v>
      </c>
      <c r="G150">
        <v>32.878999999999998</v>
      </c>
    </row>
    <row r="151" spans="1:7" x14ac:dyDescent="0.15">
      <c r="A151" s="141" t="s">
        <v>260</v>
      </c>
      <c r="B151">
        <v>22601.191999999999</v>
      </c>
      <c r="C151">
        <v>35.7423</v>
      </c>
      <c r="D151">
        <v>32.173400000000001</v>
      </c>
      <c r="E151">
        <v>33.735399999999998</v>
      </c>
      <c r="F151">
        <v>192782.96900000001</v>
      </c>
      <c r="G151">
        <v>27.484000000000002</v>
      </c>
    </row>
    <row r="152" spans="1:7" x14ac:dyDescent="0.15">
      <c r="A152" s="141" t="s">
        <v>261</v>
      </c>
      <c r="B152">
        <v>9413.3040000000001</v>
      </c>
      <c r="C152">
        <v>32.71</v>
      </c>
      <c r="D152">
        <v>30.481400000000001</v>
      </c>
      <c r="E152">
        <v>32.251399999999997</v>
      </c>
      <c r="F152">
        <v>113352.773</v>
      </c>
      <c r="G152">
        <v>24.43</v>
      </c>
    </row>
    <row r="153" spans="1:7" x14ac:dyDescent="0.15">
      <c r="A153" s="141" t="s">
        <v>262</v>
      </c>
      <c r="B153">
        <v>47666.256000000001</v>
      </c>
      <c r="C153">
        <v>38.893099999999997</v>
      </c>
      <c r="D153">
        <v>41.007199999999997</v>
      </c>
      <c r="E153">
        <v>41.322099999999999</v>
      </c>
      <c r="F153">
        <v>231288.04699999999</v>
      </c>
      <c r="G153">
        <v>20.96</v>
      </c>
    </row>
    <row r="154" spans="1:7" x14ac:dyDescent="0.15">
      <c r="A154" s="141" t="s">
        <v>263</v>
      </c>
      <c r="B154">
        <v>23372.991999999998</v>
      </c>
      <c r="C154">
        <v>37.503700000000002</v>
      </c>
      <c r="D154">
        <v>38.477600000000002</v>
      </c>
      <c r="E154">
        <v>39.790100000000002</v>
      </c>
      <c r="F154">
        <v>143248.09400000001</v>
      </c>
      <c r="G154">
        <v>17.931000000000001</v>
      </c>
    </row>
    <row r="155" spans="1:7" x14ac:dyDescent="0.15">
      <c r="A155" s="141" t="s">
        <v>264</v>
      </c>
      <c r="B155">
        <v>12130.647999999999</v>
      </c>
      <c r="C155">
        <v>35.9236</v>
      </c>
      <c r="D155">
        <v>36.289099999999998</v>
      </c>
      <c r="E155">
        <v>38.286900000000003</v>
      </c>
      <c r="F155">
        <v>94202.289000000004</v>
      </c>
      <c r="G155">
        <v>15.522</v>
      </c>
    </row>
    <row r="156" spans="1:7" x14ac:dyDescent="0.15">
      <c r="A156" s="141" t="s">
        <v>265</v>
      </c>
      <c r="B156">
        <v>5935.28</v>
      </c>
      <c r="C156">
        <v>33.981000000000002</v>
      </c>
      <c r="D156">
        <v>33.866199999999999</v>
      </c>
      <c r="E156">
        <v>36.531700000000001</v>
      </c>
      <c r="F156">
        <v>59517.398000000001</v>
      </c>
      <c r="G156">
        <v>13.28</v>
      </c>
    </row>
    <row r="157" spans="1:7" x14ac:dyDescent="0.15">
      <c r="A157" s="141" t="s">
        <v>266</v>
      </c>
      <c r="B157">
        <v>25135.784</v>
      </c>
      <c r="C157">
        <v>37.5047</v>
      </c>
      <c r="D157">
        <v>44.7592</v>
      </c>
      <c r="E157">
        <v>42.4664</v>
      </c>
      <c r="F157">
        <v>340263.96899999998</v>
      </c>
      <c r="G157">
        <v>34.679000000000002</v>
      </c>
    </row>
    <row r="158" spans="1:7" x14ac:dyDescent="0.15">
      <c r="A158" s="141" t="s">
        <v>267</v>
      </c>
      <c r="B158">
        <v>10682.191999999999</v>
      </c>
      <c r="C158">
        <v>36.856699999999996</v>
      </c>
      <c r="D158">
        <v>44.014200000000002</v>
      </c>
      <c r="E158">
        <v>41.6661</v>
      </c>
      <c r="F158">
        <v>185198.891</v>
      </c>
      <c r="G158">
        <v>28.492999999999999</v>
      </c>
    </row>
    <row r="159" spans="1:7" x14ac:dyDescent="0.15">
      <c r="A159" s="141" t="s">
        <v>268</v>
      </c>
      <c r="B159">
        <v>5346.0720000000001</v>
      </c>
      <c r="C159">
        <v>35.811999999999998</v>
      </c>
      <c r="D159">
        <v>42.928199999999997</v>
      </c>
      <c r="E159">
        <v>40.559399999999997</v>
      </c>
      <c r="F159">
        <v>109311.523</v>
      </c>
      <c r="G159">
        <v>23.652999999999999</v>
      </c>
    </row>
    <row r="160" spans="1:7" x14ac:dyDescent="0.15">
      <c r="A160" s="141" t="s">
        <v>269</v>
      </c>
      <c r="B160">
        <v>2664.944</v>
      </c>
      <c r="C160">
        <v>34.2029</v>
      </c>
      <c r="D160">
        <v>41.617100000000001</v>
      </c>
      <c r="E160">
        <v>39.323999999999998</v>
      </c>
      <c r="F160">
        <v>61816.300999999999</v>
      </c>
      <c r="G160">
        <v>19.690000000000001</v>
      </c>
    </row>
    <row r="161" spans="1:7" x14ac:dyDescent="0.15">
      <c r="A161" s="141" t="s">
        <v>142</v>
      </c>
      <c r="B161">
        <v>8512.2559999999994</v>
      </c>
      <c r="C161">
        <v>37.947099999999999</v>
      </c>
      <c r="D161">
        <v>39.547699999999999</v>
      </c>
      <c r="E161">
        <v>42.546900000000001</v>
      </c>
      <c r="F161">
        <v>384422.68800000002</v>
      </c>
      <c r="G161">
        <v>30.274999999999999</v>
      </c>
    </row>
    <row r="162" spans="1:7" x14ac:dyDescent="0.15">
      <c r="A162" s="141" t="s">
        <v>143</v>
      </c>
      <c r="B162">
        <v>4045.3328000000001</v>
      </c>
      <c r="C162">
        <v>36.587299999999999</v>
      </c>
      <c r="D162">
        <v>38.8279</v>
      </c>
      <c r="E162">
        <v>41.323</v>
      </c>
      <c r="F162">
        <v>235044.516</v>
      </c>
      <c r="G162">
        <v>23.31</v>
      </c>
    </row>
    <row r="163" spans="1:7" x14ac:dyDescent="0.15">
      <c r="A163" s="141" t="s">
        <v>144</v>
      </c>
      <c r="B163">
        <v>1979.8176000000001</v>
      </c>
      <c r="C163">
        <v>34.740499999999997</v>
      </c>
      <c r="D163">
        <v>37.907800000000002</v>
      </c>
      <c r="E163">
        <v>39.804900000000004</v>
      </c>
      <c r="F163">
        <v>146573.59400000001</v>
      </c>
      <c r="G163">
        <v>18.847999999999999</v>
      </c>
    </row>
    <row r="164" spans="1:7" x14ac:dyDescent="0.15">
      <c r="A164" s="141" t="s">
        <v>145</v>
      </c>
      <c r="B164">
        <v>936.18399999999997</v>
      </c>
      <c r="C164">
        <v>32.404899999999998</v>
      </c>
      <c r="D164">
        <v>36.8035</v>
      </c>
      <c r="E164">
        <v>38.066099999999999</v>
      </c>
      <c r="F164">
        <v>90962.039000000004</v>
      </c>
      <c r="G164">
        <v>15.484999999999999</v>
      </c>
    </row>
    <row r="165" spans="1:7" x14ac:dyDescent="0.15">
      <c r="A165" s="141" t="s">
        <v>146</v>
      </c>
      <c r="B165">
        <v>9773.6607999999997</v>
      </c>
      <c r="C165">
        <v>38.684899999999999</v>
      </c>
      <c r="D165">
        <v>43.4833</v>
      </c>
      <c r="E165">
        <v>44.357799999999997</v>
      </c>
      <c r="F165">
        <v>399302.46899999998</v>
      </c>
      <c r="G165">
        <v>40.012999999999998</v>
      </c>
    </row>
    <row r="166" spans="1:7" x14ac:dyDescent="0.15">
      <c r="A166" s="141" t="s">
        <v>147</v>
      </c>
      <c r="B166">
        <v>5018.8847999999998</v>
      </c>
      <c r="C166">
        <v>37.444200000000002</v>
      </c>
      <c r="D166">
        <v>42.449399999999997</v>
      </c>
      <c r="E166">
        <v>42.798099999999998</v>
      </c>
      <c r="F166">
        <v>254168.375</v>
      </c>
      <c r="G166">
        <v>35.725999999999999</v>
      </c>
    </row>
    <row r="167" spans="1:7" x14ac:dyDescent="0.15">
      <c r="A167" s="141" t="s">
        <v>148</v>
      </c>
      <c r="B167">
        <v>2549.04</v>
      </c>
      <c r="C167">
        <v>35.748100000000001</v>
      </c>
      <c r="D167">
        <v>41.099499999999999</v>
      </c>
      <c r="E167">
        <v>40.961100000000002</v>
      </c>
      <c r="F167">
        <v>159870.25</v>
      </c>
      <c r="G167">
        <v>28.126999999999999</v>
      </c>
    </row>
    <row r="168" spans="1:7" x14ac:dyDescent="0.15">
      <c r="A168" s="141" t="s">
        <v>149</v>
      </c>
      <c r="B168">
        <v>1261.7248</v>
      </c>
      <c r="C168">
        <v>33.642600000000002</v>
      </c>
      <c r="D168">
        <v>39.703899999999997</v>
      </c>
      <c r="E168">
        <v>39.063800000000001</v>
      </c>
      <c r="F168">
        <v>97837.758000000002</v>
      </c>
      <c r="G168">
        <v>23.221</v>
      </c>
    </row>
    <row r="169" spans="1:7" x14ac:dyDescent="0.15">
      <c r="A169" s="141" t="s">
        <v>270</v>
      </c>
      <c r="B169">
        <v>6644.1504000000004</v>
      </c>
      <c r="C169">
        <v>39.774299999999997</v>
      </c>
      <c r="D169">
        <v>43.422400000000003</v>
      </c>
      <c r="E169">
        <v>44.266599999999997</v>
      </c>
      <c r="F169">
        <v>366997.625</v>
      </c>
      <c r="G169">
        <v>43.045999999999999</v>
      </c>
    </row>
    <row r="170" spans="1:7" x14ac:dyDescent="0.15">
      <c r="A170" s="141" t="s">
        <v>271</v>
      </c>
      <c r="B170">
        <v>3181.5167999999999</v>
      </c>
      <c r="C170">
        <v>38.471899999999998</v>
      </c>
      <c r="D170">
        <v>42.487699999999997</v>
      </c>
      <c r="E170">
        <v>43.32</v>
      </c>
      <c r="F170">
        <v>218694.71900000001</v>
      </c>
      <c r="G170">
        <v>34.145000000000003</v>
      </c>
    </row>
    <row r="171" spans="1:7" x14ac:dyDescent="0.15">
      <c r="A171" s="141" t="s">
        <v>272</v>
      </c>
      <c r="B171">
        <v>1535.7791999999999</v>
      </c>
      <c r="C171">
        <v>36.651400000000002</v>
      </c>
      <c r="D171">
        <v>41.255600000000001</v>
      </c>
      <c r="E171">
        <v>41.9529</v>
      </c>
      <c r="F171">
        <v>132457.54699999999</v>
      </c>
      <c r="G171">
        <v>28.545000000000002</v>
      </c>
    </row>
    <row r="172" spans="1:7" x14ac:dyDescent="0.15">
      <c r="A172" s="141" t="s">
        <v>273</v>
      </c>
      <c r="B172">
        <v>717.63040000000001</v>
      </c>
      <c r="C172">
        <v>34.3568</v>
      </c>
      <c r="D172">
        <v>40.138599999999997</v>
      </c>
      <c r="E172">
        <v>40.595799999999997</v>
      </c>
      <c r="F172">
        <v>76378.241999999998</v>
      </c>
      <c r="G172">
        <v>23.655000000000001</v>
      </c>
    </row>
    <row r="173" spans="1:7" x14ac:dyDescent="0.15">
      <c r="A173" s="141" t="s">
        <v>274</v>
      </c>
      <c r="B173">
        <v>7145.4255999999996</v>
      </c>
      <c r="C173">
        <v>43.278500000000001</v>
      </c>
      <c r="D173">
        <v>46.049199999999999</v>
      </c>
      <c r="E173">
        <v>46.743600000000001</v>
      </c>
      <c r="F173">
        <v>316654.875</v>
      </c>
      <c r="G173">
        <v>43.847999999999999</v>
      </c>
    </row>
    <row r="174" spans="1:7" x14ac:dyDescent="0.15">
      <c r="A174" s="141" t="s">
        <v>275</v>
      </c>
      <c r="B174">
        <v>4351.9279999999999</v>
      </c>
      <c r="C174">
        <v>40.9574</v>
      </c>
      <c r="D174">
        <v>44.533799999999999</v>
      </c>
      <c r="E174">
        <v>45.039200000000001</v>
      </c>
      <c r="F174">
        <v>233044.25</v>
      </c>
      <c r="G174">
        <v>36.573</v>
      </c>
    </row>
    <row r="175" spans="1:7" x14ac:dyDescent="0.15">
      <c r="A175" s="141" t="s">
        <v>276</v>
      </c>
      <c r="B175">
        <v>2396.4704000000002</v>
      </c>
      <c r="C175">
        <v>38.168100000000003</v>
      </c>
      <c r="D175">
        <v>42.900199999999998</v>
      </c>
      <c r="E175">
        <v>43.191099999999999</v>
      </c>
      <c r="F175">
        <v>157168.28099999999</v>
      </c>
      <c r="G175">
        <v>30.259</v>
      </c>
    </row>
    <row r="176" spans="1:7" x14ac:dyDescent="0.15">
      <c r="A176" s="141" t="s">
        <v>277</v>
      </c>
      <c r="B176">
        <v>1244.1664000000001</v>
      </c>
      <c r="C176">
        <v>35.209299999999999</v>
      </c>
      <c r="D176">
        <v>41.417999999999999</v>
      </c>
      <c r="E176">
        <v>41.397500000000001</v>
      </c>
      <c r="F176">
        <v>100078.977</v>
      </c>
      <c r="G176">
        <v>26.018000000000001</v>
      </c>
    </row>
    <row r="177" spans="1:7" x14ac:dyDescent="0.15">
      <c r="A177" s="141" t="s">
        <v>150</v>
      </c>
      <c r="B177" s="71">
        <v>4885.3311999999996</v>
      </c>
      <c r="C177" s="71">
        <v>38.352800000000002</v>
      </c>
      <c r="D177" s="71">
        <v>44.962499999999999</v>
      </c>
      <c r="E177" s="71">
        <v>45.268900000000002</v>
      </c>
      <c r="F177" s="71">
        <v>201654.266</v>
      </c>
      <c r="G177" s="71">
        <v>17.945</v>
      </c>
    </row>
    <row r="178" spans="1:7" x14ac:dyDescent="0.15">
      <c r="A178" s="141" t="s">
        <v>151</v>
      </c>
      <c r="B178" s="71">
        <v>1723.4512</v>
      </c>
      <c r="C178" s="71">
        <v>36.355400000000003</v>
      </c>
      <c r="D178" s="71">
        <v>43.760199999999998</v>
      </c>
      <c r="E178" s="71">
        <v>44.055799999999998</v>
      </c>
      <c r="F178" s="71">
        <v>106111.375</v>
      </c>
      <c r="G178" s="71">
        <v>13.706</v>
      </c>
    </row>
    <row r="179" spans="1:7" x14ac:dyDescent="0.15">
      <c r="A179" s="141" t="s">
        <v>152</v>
      </c>
      <c r="B179" s="71">
        <v>682.66399999999999</v>
      </c>
      <c r="C179" s="71">
        <v>33.906500000000001</v>
      </c>
      <c r="D179" s="71">
        <v>42.172800000000002</v>
      </c>
      <c r="E179" s="71">
        <v>42.496200000000002</v>
      </c>
      <c r="F179" s="71">
        <v>62413.285000000003</v>
      </c>
      <c r="G179" s="71">
        <v>10.865</v>
      </c>
    </row>
    <row r="180" spans="1:7" x14ac:dyDescent="0.15">
      <c r="A180" s="141" t="s">
        <v>153</v>
      </c>
      <c r="B180" s="71">
        <v>285.95839999999998</v>
      </c>
      <c r="C180" s="71">
        <v>30.864999999999998</v>
      </c>
      <c r="D180" s="71">
        <v>40.8994</v>
      </c>
      <c r="E180" s="71">
        <v>41.334600000000002</v>
      </c>
      <c r="F180" s="71">
        <v>37815.883000000002</v>
      </c>
      <c r="G180" s="71">
        <v>8.7029999999999994</v>
      </c>
    </row>
    <row r="181" spans="1:7" x14ac:dyDescent="0.15">
      <c r="A181" s="141" t="s">
        <v>154</v>
      </c>
      <c r="B181" s="71">
        <v>4030.7728000000002</v>
      </c>
      <c r="C181" s="71">
        <v>40.458100000000002</v>
      </c>
      <c r="D181" s="71">
        <v>45.112299999999998</v>
      </c>
      <c r="E181" s="71">
        <v>45.889299999999999</v>
      </c>
      <c r="F181" s="71">
        <v>182011.21900000001</v>
      </c>
      <c r="G181" s="71">
        <v>20.353999999999999</v>
      </c>
    </row>
    <row r="182" spans="1:7" x14ac:dyDescent="0.15">
      <c r="A182" s="141" t="s">
        <v>155</v>
      </c>
      <c r="B182" s="71">
        <v>1855.5264</v>
      </c>
      <c r="C182" s="71">
        <v>38.818800000000003</v>
      </c>
      <c r="D182" s="71">
        <v>44.204300000000003</v>
      </c>
      <c r="E182" s="71">
        <v>44.316899999999997</v>
      </c>
      <c r="F182" s="71">
        <v>112401.57</v>
      </c>
      <c r="G182" s="71">
        <v>16.597000000000001</v>
      </c>
    </row>
    <row r="183" spans="1:7" x14ac:dyDescent="0.15">
      <c r="A183" s="141" t="s">
        <v>156</v>
      </c>
      <c r="B183" s="71">
        <v>889.69600000000003</v>
      </c>
      <c r="C183" s="71">
        <v>36.876800000000003</v>
      </c>
      <c r="D183" s="71">
        <v>43.127899999999997</v>
      </c>
      <c r="E183" s="71">
        <v>42.469200000000001</v>
      </c>
      <c r="F183" s="71">
        <v>66982.883000000002</v>
      </c>
      <c r="G183" s="71">
        <v>13.087</v>
      </c>
    </row>
    <row r="184" spans="1:7" x14ac:dyDescent="0.15">
      <c r="A184" s="141" t="s">
        <v>157</v>
      </c>
      <c r="B184" s="71">
        <v>417.58080000000001</v>
      </c>
      <c r="C184" s="71">
        <v>34.650199999999998</v>
      </c>
      <c r="D184" s="71">
        <v>41.7896</v>
      </c>
      <c r="E184" s="71">
        <v>40.514299999999999</v>
      </c>
      <c r="F184" s="71">
        <v>39834.800999999999</v>
      </c>
      <c r="G184" s="71">
        <v>9.9629999999999992</v>
      </c>
    </row>
    <row r="185" spans="1:7" x14ac:dyDescent="0.15">
      <c r="A185" s="141" t="s">
        <v>158</v>
      </c>
      <c r="B185" s="71">
        <v>1003.5119999999999</v>
      </c>
      <c r="C185" s="71">
        <v>42.897599999999997</v>
      </c>
      <c r="D185" s="71">
        <v>46.480699999999999</v>
      </c>
      <c r="E185" s="71">
        <v>47.293100000000003</v>
      </c>
      <c r="F185" s="71">
        <v>71474.718999999997</v>
      </c>
      <c r="G185" s="71">
        <v>9.3789999999999996</v>
      </c>
    </row>
    <row r="186" spans="1:7" x14ac:dyDescent="0.15">
      <c r="A186" s="141" t="s">
        <v>159</v>
      </c>
      <c r="B186" s="71">
        <v>516.13760000000002</v>
      </c>
      <c r="C186" s="71">
        <v>41.250599999999999</v>
      </c>
      <c r="D186" s="71">
        <v>45.516300000000001</v>
      </c>
      <c r="E186" s="71">
        <v>46.1751</v>
      </c>
      <c r="F186" s="71">
        <v>44715.555</v>
      </c>
      <c r="G186" s="71">
        <v>7.7560000000000002</v>
      </c>
    </row>
    <row r="187" spans="1:7" x14ac:dyDescent="0.15">
      <c r="A187" s="141" t="s">
        <v>160</v>
      </c>
      <c r="B187" s="71">
        <v>274.30720000000002</v>
      </c>
      <c r="C187" s="71">
        <v>39.056199999999997</v>
      </c>
      <c r="D187" s="71">
        <v>44.2273</v>
      </c>
      <c r="E187" s="71">
        <v>44.639099999999999</v>
      </c>
      <c r="F187" s="71">
        <v>28341.857</v>
      </c>
      <c r="G187" s="71">
        <v>6.484</v>
      </c>
    </row>
    <row r="188" spans="1:7" x14ac:dyDescent="0.15">
      <c r="A188" s="141" t="s">
        <v>161</v>
      </c>
      <c r="B188" s="71">
        <v>149.16480000000001</v>
      </c>
      <c r="C188" s="71">
        <v>36.285200000000003</v>
      </c>
      <c r="D188" s="71">
        <v>42.562899999999999</v>
      </c>
      <c r="E188" s="71">
        <v>42.844999999999999</v>
      </c>
      <c r="F188" s="71">
        <v>18583.116999999998</v>
      </c>
      <c r="G188" s="71">
        <v>5.76</v>
      </c>
    </row>
    <row r="189" spans="1:7" x14ac:dyDescent="0.15">
      <c r="A189" s="141" t="s">
        <v>162</v>
      </c>
      <c r="B189" s="71">
        <v>1388.1551999999999</v>
      </c>
      <c r="C189" s="71">
        <v>42.582099999999997</v>
      </c>
      <c r="D189" s="71">
        <v>48.012</v>
      </c>
      <c r="E189" s="71">
        <v>47.398800000000001</v>
      </c>
      <c r="F189" s="71">
        <v>75721.085999999996</v>
      </c>
      <c r="G189" s="71">
        <v>10.019</v>
      </c>
    </row>
    <row r="190" spans="1:7" x14ac:dyDescent="0.15">
      <c r="A190" s="141" t="s">
        <v>163</v>
      </c>
      <c r="B190" s="71">
        <v>693.32479999999998</v>
      </c>
      <c r="C190" s="71">
        <v>40.872100000000003</v>
      </c>
      <c r="D190" s="71">
        <v>47.189799999999998</v>
      </c>
      <c r="E190" s="71">
        <v>46.158299999999997</v>
      </c>
      <c r="F190" s="71">
        <v>47079.453000000001</v>
      </c>
      <c r="G190" s="71">
        <v>8.7439999999999998</v>
      </c>
    </row>
    <row r="191" spans="1:7" x14ac:dyDescent="0.15">
      <c r="A191" s="141" t="s">
        <v>164</v>
      </c>
      <c r="B191" s="71">
        <v>370.67200000000003</v>
      </c>
      <c r="C191" s="71">
        <v>38.565600000000003</v>
      </c>
      <c r="D191" s="71">
        <v>46.0655</v>
      </c>
      <c r="E191" s="71">
        <v>44.548499999999997</v>
      </c>
      <c r="F191" s="71">
        <v>29899.518</v>
      </c>
      <c r="G191" s="71">
        <v>7.4550000000000001</v>
      </c>
    </row>
    <row r="192" spans="1:7" x14ac:dyDescent="0.15">
      <c r="A192" s="141" t="s">
        <v>165</v>
      </c>
      <c r="B192" s="71">
        <v>200.58879999999999</v>
      </c>
      <c r="C192" s="71">
        <v>35.493899999999996</v>
      </c>
      <c r="D192" s="71">
        <v>44.787799999999997</v>
      </c>
      <c r="E192" s="71">
        <v>42.302599999999998</v>
      </c>
      <c r="F192" s="71">
        <v>20164.300999999999</v>
      </c>
      <c r="G192" s="71">
        <v>6.117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>
        <v>29102.060799999999</v>
      </c>
      <c r="C201" s="71">
        <v>40.463500000000003</v>
      </c>
      <c r="D201" s="71">
        <v>40.593899999999998</v>
      </c>
      <c r="E201" s="71">
        <v>40.745899999999999</v>
      </c>
      <c r="F201" s="71">
        <v>686298.5</v>
      </c>
      <c r="G201" s="71">
        <v>49.825000000000003</v>
      </c>
    </row>
    <row r="202" spans="1:7" x14ac:dyDescent="0.15">
      <c r="A202" s="141" t="s">
        <v>351</v>
      </c>
      <c r="B202" s="71">
        <v>17247.0416</v>
      </c>
      <c r="C202" s="71">
        <v>37.591200000000001</v>
      </c>
      <c r="D202" s="71">
        <v>37.884700000000002</v>
      </c>
      <c r="E202" s="71">
        <v>38.014600000000002</v>
      </c>
      <c r="F202" s="71">
        <v>534971.18799999997</v>
      </c>
      <c r="G202" s="71">
        <v>43.21</v>
      </c>
    </row>
    <row r="203" spans="1:7" x14ac:dyDescent="0.15">
      <c r="A203" s="141" t="s">
        <v>352</v>
      </c>
      <c r="B203" s="71">
        <v>9475.0671999999995</v>
      </c>
      <c r="C203" s="71">
        <v>34.220300000000002</v>
      </c>
      <c r="D203" s="71">
        <v>35.440800000000003</v>
      </c>
      <c r="E203" s="71">
        <v>35.583199999999998</v>
      </c>
      <c r="F203" s="71">
        <v>391734.40600000002</v>
      </c>
      <c r="G203" s="71">
        <v>37.36</v>
      </c>
    </row>
    <row r="204" spans="1:7" x14ac:dyDescent="0.15">
      <c r="A204" s="141" t="s">
        <v>353</v>
      </c>
      <c r="B204" s="71">
        <v>4950.3104000000003</v>
      </c>
      <c r="C204" s="71">
        <v>30.606000000000002</v>
      </c>
      <c r="D204" s="71">
        <v>33.141599999999997</v>
      </c>
      <c r="E204" s="71">
        <v>33.352200000000003</v>
      </c>
      <c r="F204" s="71">
        <v>269496.28100000002</v>
      </c>
      <c r="G204" s="71">
        <v>31.835999999999999</v>
      </c>
    </row>
    <row r="205" spans="1:7" x14ac:dyDescent="0.15">
      <c r="A205" s="141" t="s">
        <v>354</v>
      </c>
      <c r="B205" s="71">
        <v>3151.6671999999999</v>
      </c>
      <c r="C205" s="71">
        <v>44.722099999999998</v>
      </c>
      <c r="D205" s="71">
        <v>43.440600000000003</v>
      </c>
      <c r="E205" s="71">
        <v>43.491799999999998</v>
      </c>
      <c r="F205" s="71">
        <v>133072.609</v>
      </c>
      <c r="G205" s="71">
        <v>15.763999999999999</v>
      </c>
    </row>
    <row r="206" spans="1:7" x14ac:dyDescent="0.15">
      <c r="A206" s="141" t="s">
        <v>355</v>
      </c>
      <c r="B206" s="71">
        <v>2246.8431999999998</v>
      </c>
      <c r="C206" s="71">
        <v>41.830100000000002</v>
      </c>
      <c r="D206" s="71">
        <v>40.437600000000003</v>
      </c>
      <c r="E206" s="71">
        <v>40.637799999999999</v>
      </c>
      <c r="F206" s="71">
        <v>117855.867</v>
      </c>
      <c r="G206" s="71">
        <v>15.061999999999999</v>
      </c>
    </row>
    <row r="207" spans="1:7" x14ac:dyDescent="0.15">
      <c r="A207" s="141" t="s">
        <v>356</v>
      </c>
      <c r="B207" s="71">
        <v>1591.768</v>
      </c>
      <c r="C207" s="71">
        <v>37.929499999999997</v>
      </c>
      <c r="D207" s="71">
        <v>37.8414</v>
      </c>
      <c r="E207" s="71">
        <v>38.124000000000002</v>
      </c>
      <c r="F207" s="71">
        <v>102153.883</v>
      </c>
      <c r="G207" s="71">
        <v>14.334</v>
      </c>
    </row>
    <row r="208" spans="1:7" x14ac:dyDescent="0.15">
      <c r="A208" s="141" t="s">
        <v>357</v>
      </c>
      <c r="B208" s="71">
        <v>1136.6576</v>
      </c>
      <c r="C208" s="71">
        <v>32.951799999999999</v>
      </c>
      <c r="D208" s="71">
        <v>35.524700000000003</v>
      </c>
      <c r="E208" s="71">
        <v>35.840600000000002</v>
      </c>
      <c r="F208" s="71">
        <v>86958.508000000002</v>
      </c>
      <c r="G208" s="71">
        <v>13.715</v>
      </c>
    </row>
    <row r="209" spans="1:7" x14ac:dyDescent="0.15">
      <c r="A209" s="141" t="s">
        <v>358</v>
      </c>
      <c r="B209" s="71">
        <v>10261.2672</v>
      </c>
      <c r="C209" s="71">
        <v>40.822800000000001</v>
      </c>
      <c r="D209" s="71">
        <v>42.497599999999998</v>
      </c>
      <c r="E209" s="71">
        <v>42.987499999999997</v>
      </c>
      <c r="F209" s="71">
        <v>347644.875</v>
      </c>
      <c r="G209" s="71">
        <v>30.106999999999999</v>
      </c>
    </row>
    <row r="210" spans="1:7" x14ac:dyDescent="0.15">
      <c r="A210" s="141" t="s">
        <v>359</v>
      </c>
      <c r="B210" s="71">
        <v>5402.1279999999997</v>
      </c>
      <c r="C210" s="71">
        <v>38.395699999999998</v>
      </c>
      <c r="D210" s="71">
        <v>40.696399999999997</v>
      </c>
      <c r="E210" s="71">
        <v>41.0199</v>
      </c>
      <c r="F210" s="71">
        <v>241279.016</v>
      </c>
      <c r="G210" s="71">
        <v>24.933</v>
      </c>
    </row>
    <row r="211" spans="1:7" x14ac:dyDescent="0.15">
      <c r="A211" s="141" t="s">
        <v>360</v>
      </c>
      <c r="B211" s="71">
        <v>2576.5455999999999</v>
      </c>
      <c r="C211" s="71">
        <v>35.7059</v>
      </c>
      <c r="D211" s="71">
        <v>38.6648</v>
      </c>
      <c r="E211" s="71">
        <v>38.848599999999998</v>
      </c>
      <c r="F211" s="71">
        <v>158606.984</v>
      </c>
      <c r="G211" s="71">
        <v>20.64</v>
      </c>
    </row>
    <row r="212" spans="1:7" x14ac:dyDescent="0.15">
      <c r="A212" s="141" t="s">
        <v>361</v>
      </c>
      <c r="B212" s="71">
        <v>1191.7696000000001</v>
      </c>
      <c r="C212" s="71">
        <v>32.867600000000003</v>
      </c>
      <c r="D212" s="71">
        <v>36.574300000000001</v>
      </c>
      <c r="E212" s="71">
        <v>36.613199999999999</v>
      </c>
      <c r="F212" s="71">
        <v>100355.93</v>
      </c>
      <c r="G212" s="71">
        <v>17.294</v>
      </c>
    </row>
    <row r="213" spans="1:7" x14ac:dyDescent="0.15">
      <c r="A213" s="141" t="s">
        <v>362</v>
      </c>
      <c r="B213" s="71">
        <v>876.55039999999997</v>
      </c>
      <c r="C213" s="71">
        <v>47.0032</v>
      </c>
      <c r="D213" s="71">
        <v>48.568399999999997</v>
      </c>
      <c r="E213" s="71">
        <v>48.847700000000003</v>
      </c>
      <c r="F213" s="71">
        <v>57642.203000000001</v>
      </c>
      <c r="G213" s="71">
        <v>13.029</v>
      </c>
    </row>
    <row r="214" spans="1:7" x14ac:dyDescent="0.15">
      <c r="A214" s="141" t="s">
        <v>363</v>
      </c>
      <c r="B214" s="71">
        <v>573.65920000000006</v>
      </c>
      <c r="C214" s="71">
        <v>44.049300000000002</v>
      </c>
      <c r="D214" s="71">
        <v>46.160899999999998</v>
      </c>
      <c r="E214" s="71">
        <v>46.394599999999997</v>
      </c>
      <c r="F214" s="71">
        <v>47161.991999999998</v>
      </c>
      <c r="G214" s="71">
        <v>12.548</v>
      </c>
    </row>
    <row r="215" spans="1:7" x14ac:dyDescent="0.15">
      <c r="A215" s="141" t="s">
        <v>364</v>
      </c>
      <c r="B215" s="71">
        <v>369.1472</v>
      </c>
      <c r="C215" s="71">
        <v>40.180100000000003</v>
      </c>
      <c r="D215" s="71">
        <v>43.921700000000001</v>
      </c>
      <c r="E215" s="71">
        <v>43.900300000000001</v>
      </c>
      <c r="F215" s="71">
        <v>38792.288999999997</v>
      </c>
      <c r="G215" s="71">
        <v>12.468999999999999</v>
      </c>
    </row>
    <row r="216" spans="1:7" x14ac:dyDescent="0.15">
      <c r="A216" s="141" t="s">
        <v>365</v>
      </c>
      <c r="B216" s="71">
        <v>234.28960000000001</v>
      </c>
      <c r="C216" s="71">
        <v>35.363799999999998</v>
      </c>
      <c r="D216" s="71">
        <v>42.090499999999999</v>
      </c>
      <c r="E216" s="71">
        <v>41.887999999999998</v>
      </c>
      <c r="F216" s="71">
        <v>32583.895</v>
      </c>
      <c r="G216" s="71">
        <v>12.025</v>
      </c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8"/>
  <sheetViews>
    <sheetView topLeftCell="A178" zoomScaleNormal="100" workbookViewId="0">
      <selection activeCell="A201" sqref="A201:G21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77468.639999999999</v>
      </c>
      <c r="C1">
        <v>40.793700000000001</v>
      </c>
      <c r="D1">
        <v>49.146700000000003</v>
      </c>
      <c r="E1">
        <v>47.661900000000003</v>
      </c>
      <c r="F1">
        <v>112277.25</v>
      </c>
      <c r="G1">
        <v>32.164000000000001</v>
      </c>
    </row>
    <row r="2" spans="1:7" x14ac:dyDescent="0.15">
      <c r="A2" s="141" t="s">
        <v>191</v>
      </c>
      <c r="B2">
        <v>41971.342700000001</v>
      </c>
      <c r="C2">
        <v>40.147100000000002</v>
      </c>
      <c r="D2">
        <v>48.341500000000003</v>
      </c>
      <c r="E2">
        <v>46.534700000000001</v>
      </c>
      <c r="F2">
        <v>61780.457000000002</v>
      </c>
      <c r="G2">
        <v>29.274000000000001</v>
      </c>
    </row>
    <row r="3" spans="1:7" x14ac:dyDescent="0.15">
      <c r="A3" s="141" t="s">
        <v>192</v>
      </c>
      <c r="B3">
        <v>25114.884300000002</v>
      </c>
      <c r="C3">
        <v>39.413200000000003</v>
      </c>
      <c r="D3">
        <v>47.335000000000001</v>
      </c>
      <c r="E3">
        <v>45.221299999999999</v>
      </c>
      <c r="F3">
        <v>36580.046999999999</v>
      </c>
      <c r="G3">
        <v>27.303999999999998</v>
      </c>
    </row>
    <row r="4" spans="1:7" x14ac:dyDescent="0.15">
      <c r="A4" s="141" t="s">
        <v>193</v>
      </c>
      <c r="B4">
        <v>14298.7978</v>
      </c>
      <c r="C4">
        <v>38.179000000000002</v>
      </c>
      <c r="D4">
        <v>45.811900000000001</v>
      </c>
      <c r="E4">
        <v>43.398099999999999</v>
      </c>
      <c r="F4">
        <v>20095.687999999998</v>
      </c>
      <c r="G4">
        <v>24.143000000000001</v>
      </c>
    </row>
    <row r="5" spans="1:7" x14ac:dyDescent="0.15">
      <c r="A5" s="141" t="s">
        <v>194</v>
      </c>
      <c r="B5">
        <v>328479.86320000002</v>
      </c>
      <c r="C5">
        <v>44.629600000000003</v>
      </c>
      <c r="D5">
        <v>38.904499999999999</v>
      </c>
      <c r="E5">
        <v>39.524799999999999</v>
      </c>
      <c r="F5">
        <v>165763.71900000001</v>
      </c>
      <c r="G5">
        <v>47.335000000000001</v>
      </c>
    </row>
    <row r="6" spans="1:7" x14ac:dyDescent="0.15">
      <c r="A6" s="141" t="s">
        <v>195</v>
      </c>
      <c r="B6">
        <v>209621.67370000001</v>
      </c>
      <c r="C6">
        <v>41.862200000000001</v>
      </c>
      <c r="D6">
        <v>36.310499999999998</v>
      </c>
      <c r="E6">
        <v>37.2151</v>
      </c>
      <c r="F6">
        <v>132020.43799999999</v>
      </c>
      <c r="G6">
        <v>41.918999999999997</v>
      </c>
    </row>
    <row r="7" spans="1:7" x14ac:dyDescent="0.15">
      <c r="A7" s="141" t="s">
        <v>196</v>
      </c>
      <c r="B7">
        <v>119603.81050000001</v>
      </c>
      <c r="C7">
        <v>38.618099999999998</v>
      </c>
      <c r="D7">
        <v>33.999400000000001</v>
      </c>
      <c r="E7">
        <v>35.127699999999997</v>
      </c>
      <c r="F7">
        <v>98435</v>
      </c>
      <c r="G7">
        <v>37.033000000000001</v>
      </c>
    </row>
    <row r="8" spans="1:7" x14ac:dyDescent="0.15">
      <c r="A8" s="141" t="s">
        <v>197</v>
      </c>
      <c r="B8">
        <v>56068.705300000001</v>
      </c>
      <c r="C8">
        <v>35.150100000000002</v>
      </c>
      <c r="D8">
        <v>31.624300000000002</v>
      </c>
      <c r="E8">
        <v>33.076599999999999</v>
      </c>
      <c r="F8">
        <v>64156.629000000001</v>
      </c>
      <c r="G8">
        <v>30.329000000000001</v>
      </c>
    </row>
    <row r="9" spans="1:7" x14ac:dyDescent="0.15">
      <c r="A9" s="141" t="s">
        <v>198</v>
      </c>
      <c r="B9">
        <v>125895.8842</v>
      </c>
      <c r="C9">
        <v>41.520800000000001</v>
      </c>
      <c r="D9">
        <v>43.853200000000001</v>
      </c>
      <c r="E9">
        <v>42.7712</v>
      </c>
      <c r="F9">
        <v>167708.875</v>
      </c>
      <c r="G9">
        <v>39.686999999999998</v>
      </c>
    </row>
    <row r="10" spans="1:7" x14ac:dyDescent="0.15">
      <c r="A10" s="141" t="s">
        <v>199</v>
      </c>
      <c r="B10">
        <v>56504.842100000002</v>
      </c>
      <c r="C10">
        <v>38.837299999999999</v>
      </c>
      <c r="D10">
        <v>41.228700000000003</v>
      </c>
      <c r="E10">
        <v>41.5717</v>
      </c>
      <c r="F10">
        <v>104040.539</v>
      </c>
      <c r="G10">
        <v>30.779</v>
      </c>
    </row>
    <row r="11" spans="1:7" x14ac:dyDescent="0.15">
      <c r="A11" s="141" t="s">
        <v>200</v>
      </c>
      <c r="B11">
        <v>25653.599999999999</v>
      </c>
      <c r="C11">
        <v>37.276600000000002</v>
      </c>
      <c r="D11">
        <v>38.892200000000003</v>
      </c>
      <c r="E11">
        <v>40.398699999999998</v>
      </c>
      <c r="F11">
        <v>57098.152000000002</v>
      </c>
      <c r="G11">
        <v>26.385000000000002</v>
      </c>
    </row>
    <row r="12" spans="1:7" x14ac:dyDescent="0.15">
      <c r="A12" s="141" t="s">
        <v>201</v>
      </c>
      <c r="B12">
        <v>12373.2</v>
      </c>
      <c r="C12">
        <v>35.881599999999999</v>
      </c>
      <c r="D12">
        <v>36.166899999999998</v>
      </c>
      <c r="E12">
        <v>38.837000000000003</v>
      </c>
      <c r="F12">
        <v>31680.653999999999</v>
      </c>
      <c r="G12">
        <v>22.687999999999999</v>
      </c>
    </row>
    <row r="13" spans="1:7" x14ac:dyDescent="0.15">
      <c r="A13" s="141" t="s">
        <v>202</v>
      </c>
      <c r="B13">
        <v>179051.9621</v>
      </c>
      <c r="C13">
        <v>38.596600000000002</v>
      </c>
      <c r="D13">
        <v>45.4893</v>
      </c>
      <c r="E13">
        <v>43.287100000000002</v>
      </c>
      <c r="F13">
        <v>202411.859</v>
      </c>
      <c r="G13">
        <v>40.450000000000003</v>
      </c>
    </row>
    <row r="14" spans="1:7" x14ac:dyDescent="0.15">
      <c r="A14" s="141" t="s">
        <v>203</v>
      </c>
      <c r="B14">
        <v>87676.458899999998</v>
      </c>
      <c r="C14">
        <v>37.658799999999999</v>
      </c>
      <c r="D14">
        <v>44.514099999999999</v>
      </c>
      <c r="E14">
        <v>42.114100000000001</v>
      </c>
      <c r="F14">
        <v>115907.67200000001</v>
      </c>
      <c r="G14">
        <v>33.457000000000001</v>
      </c>
    </row>
    <row r="15" spans="1:7" x14ac:dyDescent="0.15">
      <c r="A15" s="141" t="s">
        <v>204</v>
      </c>
      <c r="B15">
        <v>50328.164199999999</v>
      </c>
      <c r="C15">
        <v>36.726300000000002</v>
      </c>
      <c r="D15">
        <v>43.419499999999999</v>
      </c>
      <c r="E15">
        <v>40.876399999999997</v>
      </c>
      <c r="F15">
        <v>69089.991999999998</v>
      </c>
      <c r="G15">
        <v>29.183</v>
      </c>
    </row>
    <row r="16" spans="1:7" x14ac:dyDescent="0.15">
      <c r="A16" s="141" t="s">
        <v>205</v>
      </c>
      <c r="B16">
        <v>26478.4421</v>
      </c>
      <c r="C16">
        <v>35.212899999999998</v>
      </c>
      <c r="D16">
        <v>41.898099999999999</v>
      </c>
      <c r="E16">
        <v>39.448300000000003</v>
      </c>
      <c r="F16">
        <v>40698.891000000003</v>
      </c>
      <c r="G16">
        <v>24.928999999999998</v>
      </c>
    </row>
    <row r="17" spans="1:7" x14ac:dyDescent="0.15">
      <c r="A17" s="141" t="s">
        <v>94</v>
      </c>
      <c r="B17">
        <v>68369.041299999997</v>
      </c>
      <c r="C17">
        <v>39.539400000000001</v>
      </c>
      <c r="D17">
        <v>40.374000000000002</v>
      </c>
      <c r="E17">
        <v>43.317</v>
      </c>
      <c r="F17">
        <v>99198.773000000001</v>
      </c>
      <c r="G17">
        <v>20.282</v>
      </c>
    </row>
    <row r="18" spans="1:7" x14ac:dyDescent="0.15">
      <c r="A18" s="141" t="s">
        <v>95</v>
      </c>
      <c r="B18">
        <v>40843.371400000004</v>
      </c>
      <c r="C18">
        <v>37.8947</v>
      </c>
      <c r="D18">
        <v>39.331099999999999</v>
      </c>
      <c r="E18">
        <v>41.833599999999997</v>
      </c>
      <c r="F18">
        <v>67656.422000000006</v>
      </c>
      <c r="G18">
        <v>16.753</v>
      </c>
    </row>
    <row r="19" spans="1:7" x14ac:dyDescent="0.15">
      <c r="A19" s="141" t="s">
        <v>96</v>
      </c>
      <c r="B19">
        <v>23511.834900000002</v>
      </c>
      <c r="C19">
        <v>35.969099999999997</v>
      </c>
      <c r="D19">
        <v>38.389400000000002</v>
      </c>
      <c r="E19">
        <v>40.364100000000001</v>
      </c>
      <c r="F19">
        <v>45714.828000000001</v>
      </c>
      <c r="G19">
        <v>14.696999999999999</v>
      </c>
    </row>
    <row r="20" spans="1:7" x14ac:dyDescent="0.15">
      <c r="A20" s="141" t="s">
        <v>97</v>
      </c>
      <c r="B20">
        <v>11974.450800000001</v>
      </c>
      <c r="C20">
        <v>33.4908</v>
      </c>
      <c r="D20">
        <v>37.150300000000001</v>
      </c>
      <c r="E20">
        <v>38.6053</v>
      </c>
      <c r="F20">
        <v>28585.053</v>
      </c>
      <c r="G20">
        <v>12.288</v>
      </c>
    </row>
    <row r="21" spans="1:7" x14ac:dyDescent="0.15">
      <c r="A21" s="141" t="s">
        <v>98</v>
      </c>
      <c r="B21">
        <v>43090.196799999998</v>
      </c>
      <c r="C21">
        <v>40.181399999999996</v>
      </c>
      <c r="D21">
        <v>44.090800000000002</v>
      </c>
      <c r="E21">
        <v>45.5242</v>
      </c>
      <c r="F21">
        <v>77574.187999999995</v>
      </c>
      <c r="G21">
        <v>17.263000000000002</v>
      </c>
    </row>
    <row r="22" spans="1:7" x14ac:dyDescent="0.15">
      <c r="A22" s="141" t="s">
        <v>99</v>
      </c>
      <c r="B22">
        <v>23502.431700000001</v>
      </c>
      <c r="C22">
        <v>38.7014</v>
      </c>
      <c r="D22">
        <v>43.055399999999999</v>
      </c>
      <c r="E22">
        <v>43.986600000000003</v>
      </c>
      <c r="F22">
        <v>50336.82</v>
      </c>
      <c r="G22">
        <v>14.717000000000001</v>
      </c>
    </row>
    <row r="23" spans="1:7" x14ac:dyDescent="0.15">
      <c r="A23" s="141" t="s">
        <v>100</v>
      </c>
      <c r="B23">
        <v>13189.549199999999</v>
      </c>
      <c r="C23">
        <v>37.238399999999999</v>
      </c>
      <c r="D23">
        <v>41.873800000000003</v>
      </c>
      <c r="E23">
        <v>42.3474</v>
      </c>
      <c r="F23">
        <v>32037.348000000002</v>
      </c>
      <c r="G23">
        <v>12.959</v>
      </c>
    </row>
    <row r="24" spans="1:7" x14ac:dyDescent="0.15">
      <c r="A24" s="141" t="s">
        <v>101</v>
      </c>
      <c r="B24">
        <v>7026.9143000000004</v>
      </c>
      <c r="C24">
        <v>35.299399999999999</v>
      </c>
      <c r="D24">
        <v>40.309699999999999</v>
      </c>
      <c r="E24">
        <v>40.318399999999997</v>
      </c>
      <c r="F24">
        <v>19042.791000000001</v>
      </c>
      <c r="G24">
        <v>11.275</v>
      </c>
    </row>
    <row r="25" spans="1:7" x14ac:dyDescent="0.15">
      <c r="A25" s="141" t="s">
        <v>206</v>
      </c>
      <c r="B25">
        <v>65257.612800000003</v>
      </c>
      <c r="C25">
        <v>41.673000000000002</v>
      </c>
      <c r="D25">
        <v>44.171900000000001</v>
      </c>
      <c r="E25">
        <v>44.927300000000002</v>
      </c>
      <c r="F25">
        <v>85129.906000000003</v>
      </c>
      <c r="G25">
        <v>21.442</v>
      </c>
    </row>
    <row r="26" spans="1:7" x14ac:dyDescent="0.15">
      <c r="A26" s="141" t="s">
        <v>207</v>
      </c>
      <c r="B26">
        <v>42040.8128</v>
      </c>
      <c r="C26">
        <v>39.875599999999999</v>
      </c>
      <c r="D26">
        <v>42.639299999999999</v>
      </c>
      <c r="E26">
        <v>43.592599999999997</v>
      </c>
      <c r="F26">
        <v>61763.453000000001</v>
      </c>
      <c r="G26">
        <v>18.893999999999998</v>
      </c>
    </row>
    <row r="27" spans="1:7" x14ac:dyDescent="0.15">
      <c r="A27" s="141" t="s">
        <v>208</v>
      </c>
      <c r="B27">
        <v>24667.903999999999</v>
      </c>
      <c r="C27">
        <v>37.6571</v>
      </c>
      <c r="D27">
        <v>41.237099999999998</v>
      </c>
      <c r="E27">
        <v>42.217799999999997</v>
      </c>
      <c r="F27">
        <v>42776.398000000001</v>
      </c>
      <c r="G27">
        <v>16.443000000000001</v>
      </c>
    </row>
    <row r="28" spans="1:7" x14ac:dyDescent="0.15">
      <c r="A28" s="141" t="s">
        <v>209</v>
      </c>
      <c r="B28">
        <v>12453.6512</v>
      </c>
      <c r="C28">
        <v>34.976399999999998</v>
      </c>
      <c r="D28">
        <v>39.641500000000001</v>
      </c>
      <c r="E28">
        <v>40.537700000000001</v>
      </c>
      <c r="F28">
        <v>26613.171999999999</v>
      </c>
      <c r="G28">
        <v>13.971</v>
      </c>
    </row>
    <row r="29" spans="1:7" x14ac:dyDescent="0.15">
      <c r="A29" s="141" t="s">
        <v>210</v>
      </c>
      <c r="B29">
        <v>40027.372799999997</v>
      </c>
      <c r="C29">
        <v>44.843800000000002</v>
      </c>
      <c r="D29">
        <v>47.092399999999998</v>
      </c>
      <c r="E29">
        <v>48.039700000000003</v>
      </c>
      <c r="F29">
        <v>59996.815999999999</v>
      </c>
      <c r="G29">
        <v>19.288</v>
      </c>
    </row>
    <row r="30" spans="1:7" x14ac:dyDescent="0.15">
      <c r="A30" s="141" t="s">
        <v>211</v>
      </c>
      <c r="B30">
        <v>26381.472000000002</v>
      </c>
      <c r="C30">
        <v>42.694299999999998</v>
      </c>
      <c r="D30">
        <v>45.306800000000003</v>
      </c>
      <c r="E30">
        <v>46.142299999999999</v>
      </c>
      <c r="F30">
        <v>45903.805</v>
      </c>
      <c r="G30">
        <v>17.196000000000002</v>
      </c>
    </row>
    <row r="31" spans="1:7" x14ac:dyDescent="0.15">
      <c r="A31" s="141" t="s">
        <v>212</v>
      </c>
      <c r="B31">
        <v>15608.352000000001</v>
      </c>
      <c r="C31">
        <v>40.018500000000003</v>
      </c>
      <c r="D31">
        <v>43.634599999999999</v>
      </c>
      <c r="E31">
        <v>44.293599999999998</v>
      </c>
      <c r="F31">
        <v>32319.366999999998</v>
      </c>
      <c r="G31">
        <v>14.861000000000001</v>
      </c>
    </row>
    <row r="32" spans="1:7" x14ac:dyDescent="0.15">
      <c r="A32" s="141" t="s">
        <v>213</v>
      </c>
      <c r="B32">
        <v>8135.2255999999998</v>
      </c>
      <c r="C32">
        <v>36.953899999999997</v>
      </c>
      <c r="D32">
        <v>41.725900000000003</v>
      </c>
      <c r="E32">
        <v>42.118899999999996</v>
      </c>
      <c r="F32">
        <v>20157.881000000001</v>
      </c>
      <c r="G32">
        <v>13.012</v>
      </c>
    </row>
    <row r="33" spans="1:7" x14ac:dyDescent="0.15">
      <c r="A33" s="141" t="s">
        <v>102</v>
      </c>
      <c r="B33">
        <v>54273.5936</v>
      </c>
      <c r="C33">
        <v>41.693800000000003</v>
      </c>
      <c r="D33">
        <v>45.692700000000002</v>
      </c>
      <c r="E33">
        <v>46.061799999999998</v>
      </c>
      <c r="F33">
        <v>58072.964999999997</v>
      </c>
      <c r="G33">
        <v>12.2</v>
      </c>
    </row>
    <row r="34" spans="1:7" x14ac:dyDescent="0.15">
      <c r="A34" s="141" t="s">
        <v>103</v>
      </c>
      <c r="B34">
        <v>37083.865599999997</v>
      </c>
      <c r="C34">
        <v>38.755299999999998</v>
      </c>
      <c r="D34">
        <v>43.742400000000004</v>
      </c>
      <c r="E34">
        <v>44.160600000000002</v>
      </c>
      <c r="F34">
        <v>47695.781000000003</v>
      </c>
      <c r="G34">
        <v>10.664999999999999</v>
      </c>
    </row>
    <row r="35" spans="1:7" x14ac:dyDescent="0.15">
      <c r="A35" s="141" t="s">
        <v>104</v>
      </c>
      <c r="B35">
        <v>22058.803199999998</v>
      </c>
      <c r="C35">
        <v>35.384</v>
      </c>
      <c r="D35">
        <v>42.087899999999998</v>
      </c>
      <c r="E35">
        <v>42.558199999999999</v>
      </c>
      <c r="F35">
        <v>36369.277000000002</v>
      </c>
      <c r="G35">
        <v>9.1579999999999995</v>
      </c>
    </row>
    <row r="36" spans="1:7" x14ac:dyDescent="0.15">
      <c r="A36" s="141" t="s">
        <v>105</v>
      </c>
      <c r="B36">
        <v>10882.169599999999</v>
      </c>
      <c r="C36">
        <v>31.7515</v>
      </c>
      <c r="D36">
        <v>40.492899999999999</v>
      </c>
      <c r="E36">
        <v>41.04</v>
      </c>
      <c r="F36">
        <v>23844.68</v>
      </c>
      <c r="G36">
        <v>7.3929999999999998</v>
      </c>
    </row>
    <row r="37" spans="1:7" x14ac:dyDescent="0.15">
      <c r="A37" s="141" t="s">
        <v>106</v>
      </c>
      <c r="B37">
        <v>20431.2</v>
      </c>
      <c r="C37">
        <v>42.6599</v>
      </c>
      <c r="D37">
        <v>45.429200000000002</v>
      </c>
      <c r="E37">
        <v>46.8947</v>
      </c>
      <c r="F37">
        <v>33726.949000000001</v>
      </c>
      <c r="G37">
        <v>8.6440000000000001</v>
      </c>
    </row>
    <row r="38" spans="1:7" x14ac:dyDescent="0.15">
      <c r="A38" s="141" t="s">
        <v>107</v>
      </c>
      <c r="B38">
        <v>11647.091200000001</v>
      </c>
      <c r="C38">
        <v>40.648299999999999</v>
      </c>
      <c r="D38">
        <v>44.429099999999998</v>
      </c>
      <c r="E38">
        <v>45.200600000000001</v>
      </c>
      <c r="F38">
        <v>23310.603999999999</v>
      </c>
      <c r="G38">
        <v>7.5549999999999997</v>
      </c>
    </row>
    <row r="39" spans="1:7" x14ac:dyDescent="0.15">
      <c r="A39" s="141" t="s">
        <v>108</v>
      </c>
      <c r="B39">
        <v>6453.3631999999998</v>
      </c>
      <c r="C39">
        <v>38.639600000000002</v>
      </c>
      <c r="D39">
        <v>43.399000000000001</v>
      </c>
      <c r="E39">
        <v>43.420999999999999</v>
      </c>
      <c r="F39">
        <v>15176.055</v>
      </c>
      <c r="G39">
        <v>6.56</v>
      </c>
    </row>
    <row r="40" spans="1:7" x14ac:dyDescent="0.15">
      <c r="A40" s="141" t="s">
        <v>109</v>
      </c>
      <c r="B40">
        <v>3285.9584</v>
      </c>
      <c r="C40">
        <v>36.257300000000001</v>
      </c>
      <c r="D40">
        <v>41.935099999999998</v>
      </c>
      <c r="E40">
        <v>41.254300000000001</v>
      </c>
      <c r="F40">
        <v>8917.9570000000003</v>
      </c>
      <c r="G40">
        <v>5.452</v>
      </c>
    </row>
    <row r="41" spans="1:7" x14ac:dyDescent="0.15">
      <c r="A41" s="141" t="s">
        <v>110</v>
      </c>
      <c r="B41">
        <v>15384.678400000001</v>
      </c>
      <c r="C41">
        <v>44.1691</v>
      </c>
      <c r="D41">
        <v>46.923400000000001</v>
      </c>
      <c r="E41">
        <v>47.805500000000002</v>
      </c>
      <c r="F41">
        <v>26750.182000000001</v>
      </c>
      <c r="G41">
        <v>8.1999999999999993</v>
      </c>
    </row>
    <row r="42" spans="1:7" x14ac:dyDescent="0.15">
      <c r="A42" s="141" t="s">
        <v>111</v>
      </c>
      <c r="B42">
        <v>10416.4928</v>
      </c>
      <c r="C42">
        <v>42.432400000000001</v>
      </c>
      <c r="D42">
        <v>45.685200000000002</v>
      </c>
      <c r="E42">
        <v>46.345999999999997</v>
      </c>
      <c r="F42">
        <v>20040.967000000001</v>
      </c>
      <c r="G42">
        <v>7.5129999999999999</v>
      </c>
    </row>
    <row r="43" spans="1:7" x14ac:dyDescent="0.15">
      <c r="A43" s="141" t="s">
        <v>112</v>
      </c>
      <c r="B43">
        <v>6575.7951999999996</v>
      </c>
      <c r="C43">
        <v>40.086199999999998</v>
      </c>
      <c r="D43">
        <v>44.280299999999997</v>
      </c>
      <c r="E43">
        <v>44.752099999999999</v>
      </c>
      <c r="F43">
        <v>14257.96</v>
      </c>
      <c r="G43">
        <v>6.6260000000000003</v>
      </c>
    </row>
    <row r="44" spans="1:7" x14ac:dyDescent="0.15">
      <c r="A44" s="141" t="s">
        <v>113</v>
      </c>
      <c r="B44">
        <v>3802.5472</v>
      </c>
      <c r="C44">
        <v>37.0837</v>
      </c>
      <c r="D44">
        <v>42.4482</v>
      </c>
      <c r="E44">
        <v>42.819299999999998</v>
      </c>
      <c r="F44">
        <v>9378.6350000000002</v>
      </c>
      <c r="G44">
        <v>5.7169999999999996</v>
      </c>
    </row>
    <row r="45" spans="1:7" x14ac:dyDescent="0.15">
      <c r="A45" s="141" t="s">
        <v>114</v>
      </c>
      <c r="B45">
        <v>16595.833600000002</v>
      </c>
      <c r="C45">
        <v>44.115699999999997</v>
      </c>
      <c r="D45">
        <v>48.428199999999997</v>
      </c>
      <c r="E45">
        <v>48.146299999999997</v>
      </c>
      <c r="F45">
        <v>26405.303</v>
      </c>
      <c r="G45">
        <v>7.94</v>
      </c>
    </row>
    <row r="46" spans="1:7" x14ac:dyDescent="0.15">
      <c r="A46" s="141" t="s">
        <v>115</v>
      </c>
      <c r="B46">
        <v>11519.3472</v>
      </c>
      <c r="C46">
        <v>42.369199999999999</v>
      </c>
      <c r="D46">
        <v>47.291600000000003</v>
      </c>
      <c r="E46">
        <v>46.506599999999999</v>
      </c>
      <c r="F46">
        <v>20331.476999999999</v>
      </c>
      <c r="G46">
        <v>6.9560000000000004</v>
      </c>
    </row>
    <row r="47" spans="1:7" x14ac:dyDescent="0.15">
      <c r="A47" s="141" t="s">
        <v>116</v>
      </c>
      <c r="B47">
        <v>7478.5536000000002</v>
      </c>
      <c r="C47">
        <v>39.9756</v>
      </c>
      <c r="D47">
        <v>46.081200000000003</v>
      </c>
      <c r="E47">
        <v>44.655299999999997</v>
      </c>
      <c r="F47">
        <v>14992.552</v>
      </c>
      <c r="G47">
        <v>6.2709999999999999</v>
      </c>
    </row>
    <row r="48" spans="1:7" x14ac:dyDescent="0.15">
      <c r="A48" s="141" t="s">
        <v>117</v>
      </c>
      <c r="B48">
        <v>4343.1040000000003</v>
      </c>
      <c r="C48">
        <v>36.741199999999999</v>
      </c>
      <c r="D48">
        <v>44.346800000000002</v>
      </c>
      <c r="E48">
        <v>42.308</v>
      </c>
      <c r="F48">
        <v>10074.628000000001</v>
      </c>
      <c r="G48">
        <v>5.55</v>
      </c>
    </row>
    <row r="49" spans="1:7" x14ac:dyDescent="0.15">
      <c r="A49" s="141" t="s">
        <v>214</v>
      </c>
    </row>
    <row r="50" spans="1:7" x14ac:dyDescent="0.15">
      <c r="A50" s="141" t="s">
        <v>215</v>
      </c>
    </row>
    <row r="51" spans="1:7" x14ac:dyDescent="0.15">
      <c r="A51" s="141" t="s">
        <v>216</v>
      </c>
    </row>
    <row r="52" spans="1:7" x14ac:dyDescent="0.15">
      <c r="A52" s="141" t="s">
        <v>217</v>
      </c>
    </row>
    <row r="53" spans="1:7" x14ac:dyDescent="0.15">
      <c r="A53" s="141" t="s">
        <v>218</v>
      </c>
    </row>
    <row r="54" spans="1:7" x14ac:dyDescent="0.15">
      <c r="A54" s="141" t="s">
        <v>219</v>
      </c>
    </row>
    <row r="55" spans="1:7" x14ac:dyDescent="0.15">
      <c r="A55" s="141" t="s">
        <v>220</v>
      </c>
    </row>
    <row r="56" spans="1:7" x14ac:dyDescent="0.15">
      <c r="A56" s="141" t="s">
        <v>221</v>
      </c>
    </row>
    <row r="57" spans="1:7" x14ac:dyDescent="0.15">
      <c r="A57" s="141" t="s">
        <v>318</v>
      </c>
      <c r="B57">
        <v>69282.656799999997</v>
      </c>
      <c r="C57">
        <v>46.615099999999998</v>
      </c>
      <c r="D57">
        <v>43.710700000000003</v>
      </c>
      <c r="E57">
        <v>43.637099999999997</v>
      </c>
      <c r="F57">
        <v>63691.394999999997</v>
      </c>
      <c r="G57">
        <v>8.8940000000000001</v>
      </c>
    </row>
    <row r="58" spans="1:7" x14ac:dyDescent="0.15">
      <c r="A58" s="141" t="s">
        <v>319</v>
      </c>
      <c r="B58">
        <v>54079.414700000001</v>
      </c>
      <c r="C58">
        <v>43.089500000000001</v>
      </c>
      <c r="D58">
        <v>40.7727</v>
      </c>
      <c r="E58">
        <v>40.886400000000002</v>
      </c>
      <c r="F58">
        <v>60718.796999999999</v>
      </c>
      <c r="G58">
        <v>8.5389999999999997</v>
      </c>
    </row>
    <row r="59" spans="1:7" x14ac:dyDescent="0.15">
      <c r="A59" s="141" t="s">
        <v>320</v>
      </c>
      <c r="B59">
        <v>39978.341099999998</v>
      </c>
      <c r="C59">
        <v>38.821300000000001</v>
      </c>
      <c r="D59">
        <v>38.154600000000002</v>
      </c>
      <c r="E59">
        <v>38.360700000000001</v>
      </c>
      <c r="F59">
        <v>56254.059000000001</v>
      </c>
      <c r="G59">
        <v>8.36</v>
      </c>
    </row>
    <row r="60" spans="1:7" x14ac:dyDescent="0.15">
      <c r="A60" s="141" t="s">
        <v>321</v>
      </c>
      <c r="B60">
        <v>26959.376799999998</v>
      </c>
      <c r="C60">
        <v>34.009599999999999</v>
      </c>
      <c r="D60">
        <v>35.179299999999998</v>
      </c>
      <c r="E60">
        <v>35.530200000000001</v>
      </c>
      <c r="F60">
        <v>49156.620999999999</v>
      </c>
      <c r="G60">
        <v>7.5309999999999997</v>
      </c>
    </row>
    <row r="61" spans="1:7" x14ac:dyDescent="0.15">
      <c r="A61" s="141" t="s">
        <v>322</v>
      </c>
      <c r="B61">
        <v>52847.526400000002</v>
      </c>
      <c r="C61">
        <v>48.509300000000003</v>
      </c>
      <c r="D61">
        <v>44.1599</v>
      </c>
      <c r="E61">
        <v>43.9084</v>
      </c>
      <c r="F61">
        <v>121658.992</v>
      </c>
      <c r="G61">
        <v>14.535</v>
      </c>
    </row>
    <row r="62" spans="1:7" x14ac:dyDescent="0.15">
      <c r="A62" s="141" t="s">
        <v>323</v>
      </c>
      <c r="B62">
        <v>43431.910400000001</v>
      </c>
      <c r="C62">
        <v>44.6693</v>
      </c>
      <c r="D62">
        <v>41.1845</v>
      </c>
      <c r="E62">
        <v>41.275500000000001</v>
      </c>
      <c r="F62">
        <v>120161.523</v>
      </c>
      <c r="G62">
        <v>13.436999999999999</v>
      </c>
    </row>
    <row r="63" spans="1:7" x14ac:dyDescent="0.15">
      <c r="A63" s="141" t="s">
        <v>324</v>
      </c>
      <c r="B63">
        <v>35272.192000000003</v>
      </c>
      <c r="C63">
        <v>40.419499999999999</v>
      </c>
      <c r="D63">
        <v>38.757399999999997</v>
      </c>
      <c r="E63">
        <v>39.084699999999998</v>
      </c>
      <c r="F63">
        <v>114603.648</v>
      </c>
      <c r="G63">
        <v>13.124000000000001</v>
      </c>
    </row>
    <row r="64" spans="1:7" x14ac:dyDescent="0.15">
      <c r="A64" s="141" t="s">
        <v>325</v>
      </c>
      <c r="B64">
        <v>27230.495999999999</v>
      </c>
      <c r="C64">
        <v>34.906700000000001</v>
      </c>
      <c r="D64">
        <v>36.479700000000001</v>
      </c>
      <c r="E64">
        <v>36.888399999999997</v>
      </c>
      <c r="F64">
        <v>108391.516</v>
      </c>
      <c r="G64">
        <v>14.173</v>
      </c>
    </row>
    <row r="65" spans="1:7" x14ac:dyDescent="0.15">
      <c r="A65" s="141" t="s">
        <v>326</v>
      </c>
      <c r="B65">
        <v>77492.543999999994</v>
      </c>
      <c r="C65">
        <v>42.645299999999999</v>
      </c>
      <c r="D65">
        <v>43.8127</v>
      </c>
      <c r="E65">
        <v>44.097999999999999</v>
      </c>
      <c r="F65">
        <v>107156.42200000001</v>
      </c>
      <c r="G65">
        <v>24.568000000000001</v>
      </c>
    </row>
    <row r="66" spans="1:7" x14ac:dyDescent="0.15">
      <c r="A66" s="141" t="s">
        <v>327</v>
      </c>
      <c r="B66">
        <v>51035.430399999997</v>
      </c>
      <c r="C66">
        <v>40.098399999999998</v>
      </c>
      <c r="D66">
        <v>41.737000000000002</v>
      </c>
      <c r="E66">
        <v>41.884999999999998</v>
      </c>
      <c r="F66">
        <v>81763.781000000003</v>
      </c>
      <c r="G66">
        <v>21.22</v>
      </c>
    </row>
    <row r="67" spans="1:7" x14ac:dyDescent="0.15">
      <c r="A67" s="141" t="s">
        <v>328</v>
      </c>
      <c r="B67">
        <v>30446.912</v>
      </c>
      <c r="C67">
        <v>37.190800000000003</v>
      </c>
      <c r="D67">
        <v>39.700400000000002</v>
      </c>
      <c r="E67">
        <v>39.702300000000001</v>
      </c>
      <c r="F67">
        <v>56925.52</v>
      </c>
      <c r="G67">
        <v>18.265999999999998</v>
      </c>
    </row>
    <row r="68" spans="1:7" x14ac:dyDescent="0.15">
      <c r="A68" s="141" t="s">
        <v>329</v>
      </c>
      <c r="B68">
        <v>16138.099200000001</v>
      </c>
      <c r="C68">
        <v>34.043999999999997</v>
      </c>
      <c r="D68">
        <v>37.304200000000002</v>
      </c>
      <c r="E68">
        <v>37.290100000000002</v>
      </c>
      <c r="F68">
        <v>35578.644999999997</v>
      </c>
      <c r="G68">
        <v>15.244</v>
      </c>
    </row>
    <row r="69" spans="1:7" x14ac:dyDescent="0.15">
      <c r="A69" s="141" t="s">
        <v>330</v>
      </c>
      <c r="B69">
        <v>35249.734400000001</v>
      </c>
      <c r="C69">
        <v>49.1158</v>
      </c>
      <c r="D69">
        <v>48.3613</v>
      </c>
      <c r="E69">
        <v>48.314399999999999</v>
      </c>
      <c r="F69">
        <v>66722.687999999995</v>
      </c>
      <c r="G69">
        <v>11.808999999999999</v>
      </c>
    </row>
    <row r="70" spans="1:7" x14ac:dyDescent="0.15">
      <c r="A70" s="141" t="s">
        <v>331</v>
      </c>
      <c r="B70">
        <v>28505.990399999999</v>
      </c>
      <c r="C70">
        <v>45.965800000000002</v>
      </c>
      <c r="D70">
        <v>45.826999999999998</v>
      </c>
      <c r="E70">
        <v>45.838200000000001</v>
      </c>
      <c r="F70">
        <v>62666.644999999997</v>
      </c>
      <c r="G70">
        <v>11.595000000000001</v>
      </c>
    </row>
    <row r="71" spans="1:7" x14ac:dyDescent="0.15">
      <c r="A71" s="141" t="s">
        <v>332</v>
      </c>
      <c r="B71">
        <v>22265.446400000001</v>
      </c>
      <c r="C71">
        <v>42.150199999999998</v>
      </c>
      <c r="D71">
        <v>43.6843</v>
      </c>
      <c r="E71">
        <v>43.732100000000003</v>
      </c>
      <c r="F71">
        <v>56768.616999999998</v>
      </c>
      <c r="G71">
        <v>10.55</v>
      </c>
    </row>
    <row r="72" spans="1:7" x14ac:dyDescent="0.15">
      <c r="A72" s="141" t="s">
        <v>333</v>
      </c>
      <c r="B72">
        <v>16391.846399999999</v>
      </c>
      <c r="C72">
        <v>37.407899999999998</v>
      </c>
      <c r="D72">
        <v>41.628399999999999</v>
      </c>
      <c r="E72">
        <v>41.590800000000002</v>
      </c>
      <c r="F72">
        <v>49769.707000000002</v>
      </c>
      <c r="G72">
        <v>11.199</v>
      </c>
    </row>
    <row r="73" spans="1:7" x14ac:dyDescent="0.15">
      <c r="A73" s="141" t="s">
        <v>222</v>
      </c>
      <c r="B73">
        <v>14891.128000000001</v>
      </c>
      <c r="C73">
        <v>40.069800000000001</v>
      </c>
      <c r="D73">
        <v>48.914499999999997</v>
      </c>
      <c r="E73">
        <v>46.920699999999997</v>
      </c>
      <c r="F73">
        <v>364441.11900000001</v>
      </c>
      <c r="G73">
        <v>73.379000000000005</v>
      </c>
    </row>
    <row r="74" spans="1:7" x14ac:dyDescent="0.15">
      <c r="A74" s="141" t="s">
        <v>223</v>
      </c>
      <c r="B74">
        <v>6935.82</v>
      </c>
      <c r="C74">
        <v>39.563600000000001</v>
      </c>
      <c r="D74">
        <v>48.291400000000003</v>
      </c>
      <c r="E74">
        <v>46.028500000000001</v>
      </c>
      <c r="F74">
        <v>196584.50599999999</v>
      </c>
      <c r="G74">
        <v>66.831000000000003</v>
      </c>
    </row>
    <row r="75" spans="1:7" x14ac:dyDescent="0.15">
      <c r="A75" s="141" t="s">
        <v>224</v>
      </c>
      <c r="B75">
        <v>3756.096</v>
      </c>
      <c r="C75">
        <v>38.690600000000003</v>
      </c>
      <c r="D75">
        <v>47.250799999999998</v>
      </c>
      <c r="E75">
        <v>44.688899999999997</v>
      </c>
      <c r="F75">
        <v>99702.510999999999</v>
      </c>
      <c r="G75">
        <v>60.73</v>
      </c>
    </row>
    <row r="76" spans="1:7" x14ac:dyDescent="0.15">
      <c r="A76" s="141" t="s">
        <v>225</v>
      </c>
      <c r="B76">
        <v>1985.8119999999999</v>
      </c>
      <c r="C76">
        <v>37.146999999999998</v>
      </c>
      <c r="D76">
        <v>45.9664</v>
      </c>
      <c r="E76">
        <v>43.009500000000003</v>
      </c>
      <c r="F76">
        <v>50173.38</v>
      </c>
      <c r="G76">
        <v>55.350999999999999</v>
      </c>
    </row>
    <row r="77" spans="1:7" x14ac:dyDescent="0.15">
      <c r="A77" s="141" t="s">
        <v>226</v>
      </c>
      <c r="B77">
        <v>78314.788</v>
      </c>
      <c r="C77">
        <v>41.558999999999997</v>
      </c>
      <c r="D77">
        <v>36.299599999999998</v>
      </c>
      <c r="E77">
        <v>37.386800000000001</v>
      </c>
      <c r="F77">
        <v>703369.73</v>
      </c>
      <c r="G77">
        <v>82.569000000000003</v>
      </c>
    </row>
    <row r="78" spans="1:7" x14ac:dyDescent="0.15">
      <c r="A78" s="141" t="s">
        <v>227</v>
      </c>
      <c r="B78">
        <v>40567.843999999997</v>
      </c>
      <c r="C78">
        <v>38.953299999999999</v>
      </c>
      <c r="D78">
        <v>34.334600000000002</v>
      </c>
      <c r="E78">
        <v>35.653799999999997</v>
      </c>
      <c r="F78">
        <v>454657.359</v>
      </c>
      <c r="G78">
        <v>71.578000000000003</v>
      </c>
    </row>
    <row r="79" spans="1:7" x14ac:dyDescent="0.15">
      <c r="A79" s="141" t="s">
        <v>228</v>
      </c>
      <c r="B79">
        <v>19107.707999999999</v>
      </c>
      <c r="C79">
        <v>36.0486</v>
      </c>
      <c r="D79">
        <v>32.5901</v>
      </c>
      <c r="E79">
        <v>34.103000000000002</v>
      </c>
      <c r="F79">
        <v>273768.25300000003</v>
      </c>
      <c r="G79">
        <v>64.150999999999996</v>
      </c>
    </row>
    <row r="80" spans="1:7" x14ac:dyDescent="0.15">
      <c r="A80" s="141" t="s">
        <v>229</v>
      </c>
      <c r="B80">
        <v>7850.9080000000004</v>
      </c>
      <c r="C80">
        <v>32.9739</v>
      </c>
      <c r="D80">
        <v>30.976800000000001</v>
      </c>
      <c r="E80">
        <v>32.712400000000002</v>
      </c>
      <c r="F80">
        <v>151714.10200000001</v>
      </c>
      <c r="G80">
        <v>59.182000000000002</v>
      </c>
    </row>
    <row r="81" spans="1:7" x14ac:dyDescent="0.15">
      <c r="A81" s="141" t="s">
        <v>230</v>
      </c>
      <c r="B81">
        <v>39344.296000000002</v>
      </c>
      <c r="C81">
        <v>38.297800000000002</v>
      </c>
      <c r="D81">
        <v>40.323700000000002</v>
      </c>
      <c r="E81">
        <v>41.319000000000003</v>
      </c>
      <c r="F81">
        <v>413455.08199999999</v>
      </c>
      <c r="G81">
        <v>45.811</v>
      </c>
    </row>
    <row r="82" spans="1:7" x14ac:dyDescent="0.15">
      <c r="A82" s="141" t="s">
        <v>231</v>
      </c>
      <c r="B82">
        <v>19082.804</v>
      </c>
      <c r="C82">
        <v>37.168199999999999</v>
      </c>
      <c r="D82">
        <v>37.806600000000003</v>
      </c>
      <c r="E82">
        <v>39.996299999999998</v>
      </c>
      <c r="F82">
        <v>234474.01300000001</v>
      </c>
      <c r="G82">
        <v>38.927</v>
      </c>
    </row>
    <row r="83" spans="1:7" x14ac:dyDescent="0.15">
      <c r="A83" s="141" t="s">
        <v>232</v>
      </c>
      <c r="B83">
        <v>9417.2119999999995</v>
      </c>
      <c r="C83">
        <v>35.775300000000001</v>
      </c>
      <c r="D83">
        <v>35.6111</v>
      </c>
      <c r="E83">
        <v>38.657299999999999</v>
      </c>
      <c r="F83">
        <v>138019.04300000001</v>
      </c>
      <c r="G83">
        <v>34.198999999999998</v>
      </c>
    </row>
    <row r="84" spans="1:7" x14ac:dyDescent="0.15">
      <c r="A84" s="141" t="s">
        <v>233</v>
      </c>
      <c r="B84">
        <v>4769.5159999999996</v>
      </c>
      <c r="C84">
        <v>33.930199999999999</v>
      </c>
      <c r="D84">
        <v>33.7361</v>
      </c>
      <c r="E84">
        <v>37.198700000000002</v>
      </c>
      <c r="F84">
        <v>79547.781000000003</v>
      </c>
      <c r="G84">
        <v>29.664999999999999</v>
      </c>
    </row>
    <row r="85" spans="1:7" x14ac:dyDescent="0.15">
      <c r="A85" s="141" t="s">
        <v>234</v>
      </c>
      <c r="B85">
        <v>25723.46</v>
      </c>
      <c r="C85">
        <v>37.6023</v>
      </c>
      <c r="D85">
        <v>45.135100000000001</v>
      </c>
      <c r="E85">
        <v>42.770200000000003</v>
      </c>
      <c r="F85">
        <v>550020.56000000006</v>
      </c>
      <c r="G85">
        <v>75.625</v>
      </c>
    </row>
    <row r="86" spans="1:7" x14ac:dyDescent="0.15">
      <c r="A86" s="141" t="s">
        <v>235</v>
      </c>
      <c r="B86">
        <v>9308.5519999999997</v>
      </c>
      <c r="C86">
        <v>37.032400000000003</v>
      </c>
      <c r="D86">
        <v>44.515999999999998</v>
      </c>
      <c r="E86">
        <v>42.084099999999999</v>
      </c>
      <c r="F86">
        <v>273823.20299999998</v>
      </c>
      <c r="G86">
        <v>64.105999999999995</v>
      </c>
    </row>
    <row r="87" spans="1:7" x14ac:dyDescent="0.15">
      <c r="A87" s="141" t="s">
        <v>236</v>
      </c>
      <c r="B87">
        <v>4592.1440000000002</v>
      </c>
      <c r="C87">
        <v>36.162999999999997</v>
      </c>
      <c r="D87">
        <v>43.590499999999999</v>
      </c>
      <c r="E87">
        <v>41.0931</v>
      </c>
      <c r="F87">
        <v>137148.49</v>
      </c>
      <c r="G87">
        <v>53.356000000000002</v>
      </c>
    </row>
    <row r="88" spans="1:7" x14ac:dyDescent="0.15">
      <c r="A88" s="141" t="s">
        <v>237</v>
      </c>
      <c r="B88">
        <v>2227.0039999999999</v>
      </c>
      <c r="C88">
        <v>34.677500000000002</v>
      </c>
      <c r="D88">
        <v>42.279200000000003</v>
      </c>
      <c r="E88">
        <v>39.825499999999998</v>
      </c>
      <c r="F88">
        <v>67004.778999999995</v>
      </c>
      <c r="G88">
        <v>44.286999999999999</v>
      </c>
    </row>
    <row r="89" spans="1:7" x14ac:dyDescent="0.15">
      <c r="A89" s="141" t="s">
        <v>118</v>
      </c>
      <c r="B89">
        <v>10121.992</v>
      </c>
      <c r="C89">
        <v>37.966999999999999</v>
      </c>
      <c r="D89">
        <v>39.735999999999997</v>
      </c>
      <c r="E89">
        <v>43.0854</v>
      </c>
      <c r="F89">
        <v>129622.243</v>
      </c>
      <c r="G89">
        <v>16.073</v>
      </c>
    </row>
    <row r="90" spans="1:7" x14ac:dyDescent="0.15">
      <c r="A90" s="141" t="s">
        <v>119</v>
      </c>
      <c r="B90">
        <v>4756.3879999999999</v>
      </c>
      <c r="C90">
        <v>36.863300000000002</v>
      </c>
      <c r="D90">
        <v>39.1873</v>
      </c>
      <c r="E90">
        <v>41.976399999999998</v>
      </c>
      <c r="F90">
        <v>71346.839000000007</v>
      </c>
      <c r="G90">
        <v>12.831</v>
      </c>
    </row>
    <row r="91" spans="1:7" x14ac:dyDescent="0.15">
      <c r="A91" s="141" t="s">
        <v>120</v>
      </c>
      <c r="B91">
        <v>2411.4279999999999</v>
      </c>
      <c r="C91">
        <v>35.267699999999998</v>
      </c>
      <c r="D91">
        <v>38.464399999999998</v>
      </c>
      <c r="E91">
        <v>40.590000000000003</v>
      </c>
      <c r="F91">
        <v>40298.976999999999</v>
      </c>
      <c r="G91">
        <v>11.231999999999999</v>
      </c>
    </row>
    <row r="92" spans="1:7" x14ac:dyDescent="0.15">
      <c r="A92" s="141" t="s">
        <v>121</v>
      </c>
      <c r="B92">
        <v>1131.104</v>
      </c>
      <c r="C92">
        <v>33.015700000000002</v>
      </c>
      <c r="D92">
        <v>37.372999999999998</v>
      </c>
      <c r="E92">
        <v>38.872100000000003</v>
      </c>
      <c r="F92">
        <v>21578.345000000001</v>
      </c>
      <c r="G92">
        <v>10.273999999999999</v>
      </c>
    </row>
    <row r="93" spans="1:7" x14ac:dyDescent="0.15">
      <c r="A93" s="141" t="s">
        <v>122</v>
      </c>
      <c r="B93">
        <v>8878.0360000000001</v>
      </c>
      <c r="C93">
        <v>38.895800000000001</v>
      </c>
      <c r="D93">
        <v>43.937199999999997</v>
      </c>
      <c r="E93">
        <v>45.041400000000003</v>
      </c>
      <c r="F93">
        <v>128788.83500000001</v>
      </c>
      <c r="G93">
        <v>17.821000000000002</v>
      </c>
    </row>
    <row r="94" spans="1:7" x14ac:dyDescent="0.15">
      <c r="A94" s="141" t="s">
        <v>123</v>
      </c>
      <c r="B94">
        <v>4425.6120000000001</v>
      </c>
      <c r="C94">
        <v>37.839599999999997</v>
      </c>
      <c r="D94">
        <v>43.091799999999999</v>
      </c>
      <c r="E94">
        <v>43.599499999999999</v>
      </c>
      <c r="F94">
        <v>76319.816999999995</v>
      </c>
      <c r="G94">
        <v>15.771000000000001</v>
      </c>
    </row>
    <row r="95" spans="1:7" x14ac:dyDescent="0.15">
      <c r="A95" s="141" t="s">
        <v>124</v>
      </c>
      <c r="B95">
        <v>2252.9679999999998</v>
      </c>
      <c r="C95">
        <v>36.328499999999998</v>
      </c>
      <c r="D95">
        <v>41.9848</v>
      </c>
      <c r="E95">
        <v>41.924700000000001</v>
      </c>
      <c r="F95">
        <v>42309.557999999997</v>
      </c>
      <c r="G95">
        <v>13.502000000000001</v>
      </c>
    </row>
    <row r="96" spans="1:7" x14ac:dyDescent="0.15">
      <c r="A96" s="141" t="s">
        <v>125</v>
      </c>
      <c r="B96">
        <v>1110.5239999999999</v>
      </c>
      <c r="C96">
        <v>34.250100000000003</v>
      </c>
      <c r="D96">
        <v>40.631100000000004</v>
      </c>
      <c r="E96">
        <v>40.075099999999999</v>
      </c>
      <c r="F96">
        <v>22629.654999999999</v>
      </c>
      <c r="G96">
        <v>11.17</v>
      </c>
    </row>
    <row r="97" spans="1:7" x14ac:dyDescent="0.15">
      <c r="A97" s="141" t="s">
        <v>238</v>
      </c>
      <c r="B97">
        <v>6957.2039999999997</v>
      </c>
      <c r="C97">
        <v>39.639299999999999</v>
      </c>
      <c r="D97">
        <v>43.657699999999998</v>
      </c>
      <c r="E97">
        <v>44.8583</v>
      </c>
      <c r="F97">
        <v>115221.913</v>
      </c>
      <c r="G97">
        <v>18.553000000000001</v>
      </c>
    </row>
    <row r="98" spans="1:7" x14ac:dyDescent="0.15">
      <c r="A98" s="141" t="s">
        <v>239</v>
      </c>
      <c r="B98">
        <v>3261.6840000000002</v>
      </c>
      <c r="C98">
        <v>38.438400000000001</v>
      </c>
      <c r="D98">
        <v>42.892600000000002</v>
      </c>
      <c r="E98">
        <v>44.179499999999997</v>
      </c>
      <c r="F98">
        <v>65891.630999999994</v>
      </c>
      <c r="G98">
        <v>15.993</v>
      </c>
    </row>
    <row r="99" spans="1:7" x14ac:dyDescent="0.15">
      <c r="A99" s="141" t="s">
        <v>240</v>
      </c>
      <c r="B99">
        <v>1553.9760000000001</v>
      </c>
      <c r="C99">
        <v>36.733800000000002</v>
      </c>
      <c r="D99">
        <v>41.861899999999999</v>
      </c>
      <c r="E99">
        <v>43.180300000000003</v>
      </c>
      <c r="F99">
        <v>34803.688999999998</v>
      </c>
      <c r="G99">
        <v>14.513999999999999</v>
      </c>
    </row>
    <row r="100" spans="1:7" x14ac:dyDescent="0.15">
      <c r="A100" s="141" t="s">
        <v>241</v>
      </c>
      <c r="B100">
        <v>696.34400000000005</v>
      </c>
      <c r="C100">
        <v>34.488399999999999</v>
      </c>
      <c r="D100">
        <v>40.581499999999998</v>
      </c>
      <c r="E100">
        <v>41.794600000000003</v>
      </c>
      <c r="F100">
        <v>17586.921999999999</v>
      </c>
      <c r="G100">
        <v>12.081</v>
      </c>
    </row>
    <row r="101" spans="1:7" x14ac:dyDescent="0.15">
      <c r="A101" s="141" t="s">
        <v>242</v>
      </c>
      <c r="B101">
        <v>5839.6840000000002</v>
      </c>
      <c r="C101">
        <v>44.793500000000002</v>
      </c>
      <c r="D101">
        <v>47.185200000000002</v>
      </c>
      <c r="E101">
        <v>48.126800000000003</v>
      </c>
      <c r="F101">
        <v>87458.801000000007</v>
      </c>
      <c r="G101">
        <v>18.23</v>
      </c>
    </row>
    <row r="102" spans="1:7" x14ac:dyDescent="0.15">
      <c r="A102" s="141" t="s">
        <v>243</v>
      </c>
      <c r="B102">
        <v>3569.0920000000001</v>
      </c>
      <c r="C102">
        <v>42.528599999999997</v>
      </c>
      <c r="D102">
        <v>45.587400000000002</v>
      </c>
      <c r="E102">
        <v>46.361699999999999</v>
      </c>
      <c r="F102">
        <v>60251.822</v>
      </c>
      <c r="G102">
        <v>16.158999999999999</v>
      </c>
    </row>
    <row r="103" spans="1:7" x14ac:dyDescent="0.15">
      <c r="A103" s="141" t="s">
        <v>244</v>
      </c>
      <c r="B103">
        <v>1977.576</v>
      </c>
      <c r="C103">
        <v>39.697800000000001</v>
      </c>
      <c r="D103">
        <v>43.926600000000001</v>
      </c>
      <c r="E103">
        <v>44.394199999999998</v>
      </c>
      <c r="F103">
        <v>37658.400000000001</v>
      </c>
      <c r="G103">
        <v>14.093</v>
      </c>
    </row>
    <row r="104" spans="1:7" x14ac:dyDescent="0.15">
      <c r="A104" s="141" t="s">
        <v>245</v>
      </c>
      <c r="B104">
        <v>1001.704</v>
      </c>
      <c r="C104">
        <v>36.498699999999999</v>
      </c>
      <c r="D104">
        <v>42.246699999999997</v>
      </c>
      <c r="E104">
        <v>42.469499999999996</v>
      </c>
      <c r="F104">
        <v>21286.284</v>
      </c>
      <c r="G104">
        <v>11.771000000000001</v>
      </c>
    </row>
    <row r="105" spans="1:7" x14ac:dyDescent="0.15">
      <c r="A105" s="141" t="s">
        <v>126</v>
      </c>
      <c r="B105">
        <v>4242.0479999999998</v>
      </c>
      <c r="C105">
        <v>38.523400000000002</v>
      </c>
      <c r="D105">
        <v>45.802700000000002</v>
      </c>
      <c r="E105">
        <v>46.016500000000001</v>
      </c>
      <c r="F105">
        <v>56152.243999999999</v>
      </c>
      <c r="G105">
        <v>7.5510000000000002</v>
      </c>
    </row>
    <row r="106" spans="1:7" x14ac:dyDescent="0.15">
      <c r="A106" s="141" t="s">
        <v>127</v>
      </c>
      <c r="B106">
        <v>1791.652</v>
      </c>
      <c r="C106">
        <v>36.910499999999999</v>
      </c>
      <c r="D106">
        <v>44.616799999999998</v>
      </c>
      <c r="E106">
        <v>44.8247</v>
      </c>
      <c r="F106">
        <v>29162.03</v>
      </c>
      <c r="G106">
        <v>6.0389999999999997</v>
      </c>
    </row>
    <row r="107" spans="1:7" x14ac:dyDescent="0.15">
      <c r="A107" s="141" t="s">
        <v>128</v>
      </c>
      <c r="B107">
        <v>818.88400000000001</v>
      </c>
      <c r="C107">
        <v>34.913800000000002</v>
      </c>
      <c r="D107">
        <v>43.143500000000003</v>
      </c>
      <c r="E107">
        <v>43.404000000000003</v>
      </c>
      <c r="F107">
        <v>15134.191000000001</v>
      </c>
      <c r="G107">
        <v>5.05</v>
      </c>
    </row>
    <row r="108" spans="1:7" x14ac:dyDescent="0.15">
      <c r="A108" s="141" t="s">
        <v>129</v>
      </c>
      <c r="B108">
        <v>393.8</v>
      </c>
      <c r="C108">
        <v>32.2988</v>
      </c>
      <c r="D108">
        <v>41.161999999999999</v>
      </c>
      <c r="E108">
        <v>41.6995</v>
      </c>
      <c r="F108">
        <v>7892.8720000000003</v>
      </c>
      <c r="G108">
        <v>4.4139999999999997</v>
      </c>
    </row>
    <row r="109" spans="1:7" x14ac:dyDescent="0.15">
      <c r="A109" s="141" t="s">
        <v>130</v>
      </c>
      <c r="B109">
        <v>2508.0839999999998</v>
      </c>
      <c r="C109">
        <v>40.579599999999999</v>
      </c>
      <c r="D109">
        <v>46.006</v>
      </c>
      <c r="E109">
        <v>47.132300000000001</v>
      </c>
      <c r="F109">
        <v>44483.046999999999</v>
      </c>
      <c r="G109">
        <v>7.9589999999999996</v>
      </c>
    </row>
    <row r="110" spans="1:7" x14ac:dyDescent="0.15">
      <c r="A110" s="141" t="s">
        <v>131</v>
      </c>
      <c r="B110">
        <v>1146.972</v>
      </c>
      <c r="C110">
        <v>39.460500000000003</v>
      </c>
      <c r="D110">
        <v>45.4131</v>
      </c>
      <c r="E110">
        <v>45.898699999999998</v>
      </c>
      <c r="F110">
        <v>23453.725999999999</v>
      </c>
      <c r="G110">
        <v>6.3529999999999998</v>
      </c>
    </row>
    <row r="111" spans="1:7" x14ac:dyDescent="0.15">
      <c r="A111" s="141" t="s">
        <v>132</v>
      </c>
      <c r="B111">
        <v>537.67600000000004</v>
      </c>
      <c r="C111">
        <v>37.884500000000003</v>
      </c>
      <c r="D111">
        <v>44.5306</v>
      </c>
      <c r="E111">
        <v>44.255299999999998</v>
      </c>
      <c r="F111">
        <v>12225.749</v>
      </c>
      <c r="G111">
        <v>5.5990000000000002</v>
      </c>
    </row>
    <row r="112" spans="1:7" x14ac:dyDescent="0.15">
      <c r="A112" s="141" t="s">
        <v>133</v>
      </c>
      <c r="B112">
        <v>243.83199999999999</v>
      </c>
      <c r="C112">
        <v>35.7866</v>
      </c>
      <c r="D112">
        <v>43.314599999999999</v>
      </c>
      <c r="E112">
        <v>42.307899999999997</v>
      </c>
      <c r="F112">
        <v>6056.2539999999999</v>
      </c>
      <c r="G112">
        <v>4.9770000000000003</v>
      </c>
    </row>
    <row r="113" spans="1:7" x14ac:dyDescent="0.15">
      <c r="A113" s="141" t="s">
        <v>134</v>
      </c>
      <c r="B113">
        <v>960.44399999999996</v>
      </c>
      <c r="C113">
        <v>43.460500000000003</v>
      </c>
      <c r="D113">
        <v>47.098799999999997</v>
      </c>
      <c r="E113">
        <v>48.137599999999999</v>
      </c>
      <c r="F113">
        <v>18817.055</v>
      </c>
      <c r="G113">
        <v>5.2880000000000003</v>
      </c>
    </row>
    <row r="114" spans="1:7" x14ac:dyDescent="0.15">
      <c r="A114" s="141" t="s">
        <v>135</v>
      </c>
      <c r="B114">
        <v>522.85599999999999</v>
      </c>
      <c r="C114">
        <v>42.170900000000003</v>
      </c>
      <c r="D114">
        <v>46.301900000000003</v>
      </c>
      <c r="E114">
        <v>47.063000000000002</v>
      </c>
      <c r="F114">
        <v>10597.912</v>
      </c>
      <c r="G114">
        <v>4.9249999999999998</v>
      </c>
    </row>
    <row r="115" spans="1:7" x14ac:dyDescent="0.15">
      <c r="A115" s="141" t="s">
        <v>136</v>
      </c>
      <c r="B115">
        <v>298.94</v>
      </c>
      <c r="C115">
        <v>40.383499999999998</v>
      </c>
      <c r="D115">
        <v>45.235399999999998</v>
      </c>
      <c r="E115">
        <v>45.698099999999997</v>
      </c>
      <c r="F115">
        <v>5958.3180000000002</v>
      </c>
      <c r="G115">
        <v>4.7460000000000004</v>
      </c>
    </row>
    <row r="116" spans="1:7" x14ac:dyDescent="0.15">
      <c r="A116" s="141" t="s">
        <v>137</v>
      </c>
      <c r="B116">
        <v>166.428</v>
      </c>
      <c r="C116">
        <v>37.795200000000001</v>
      </c>
      <c r="D116">
        <v>43.372300000000003</v>
      </c>
      <c r="E116">
        <v>43.820900000000002</v>
      </c>
      <c r="F116">
        <v>3441.32</v>
      </c>
      <c r="G116">
        <v>4.8570000000000002</v>
      </c>
    </row>
    <row r="117" spans="1:7" x14ac:dyDescent="0.15">
      <c r="A117" s="141" t="s">
        <v>138</v>
      </c>
      <c r="B117">
        <v>1362.1</v>
      </c>
      <c r="C117">
        <v>42.826799999999999</v>
      </c>
      <c r="D117">
        <v>48.663699999999999</v>
      </c>
      <c r="E117">
        <v>48.420299999999997</v>
      </c>
      <c r="F117">
        <v>21603.145</v>
      </c>
      <c r="G117">
        <v>5.27</v>
      </c>
    </row>
    <row r="118" spans="1:7" x14ac:dyDescent="0.15">
      <c r="A118" s="141" t="s">
        <v>139</v>
      </c>
      <c r="B118">
        <v>735.25199999999995</v>
      </c>
      <c r="C118">
        <v>41.530200000000001</v>
      </c>
      <c r="D118">
        <v>47.787999999999997</v>
      </c>
      <c r="E118">
        <v>47.299700000000001</v>
      </c>
      <c r="F118">
        <v>12577.502</v>
      </c>
      <c r="G118">
        <v>4.96</v>
      </c>
    </row>
    <row r="119" spans="1:7" x14ac:dyDescent="0.15">
      <c r="A119" s="141" t="s">
        <v>140</v>
      </c>
      <c r="B119">
        <v>413.27600000000001</v>
      </c>
      <c r="C119">
        <v>39.651000000000003</v>
      </c>
      <c r="D119">
        <v>46.735300000000002</v>
      </c>
      <c r="E119">
        <v>45.680700000000002</v>
      </c>
      <c r="F119">
        <v>7348.7709999999997</v>
      </c>
      <c r="G119">
        <v>4.8259999999999996</v>
      </c>
    </row>
    <row r="120" spans="1:7" x14ac:dyDescent="0.15">
      <c r="A120" s="141" t="s">
        <v>141</v>
      </c>
      <c r="B120">
        <v>225.11199999999999</v>
      </c>
      <c r="C120">
        <v>36.888300000000001</v>
      </c>
      <c r="D120">
        <v>45.084400000000002</v>
      </c>
      <c r="E120">
        <v>43.148099999999999</v>
      </c>
      <c r="F120">
        <v>4201.9319999999998</v>
      </c>
      <c r="G120">
        <v>4.6280000000000001</v>
      </c>
    </row>
    <row r="121" spans="1:7" x14ac:dyDescent="0.15">
      <c r="A121" s="141" t="s">
        <v>246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15">
      <c r="A122" s="141" t="s">
        <v>247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15">
      <c r="A123" s="141" t="s">
        <v>248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15">
      <c r="A124" s="141" t="s">
        <v>249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15">
      <c r="A125" s="141" t="s">
        <v>250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15">
      <c r="A126" s="141" t="s">
        <v>251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15">
      <c r="A127" s="141" t="s">
        <v>252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15">
      <c r="A128" s="141" t="s">
        <v>253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15">
      <c r="A129" s="141" t="s">
        <v>334</v>
      </c>
      <c r="B129">
        <v>22994.952000000001</v>
      </c>
      <c r="C129">
        <v>41.877600000000001</v>
      </c>
      <c r="D129">
        <v>41.1053</v>
      </c>
      <c r="E129">
        <v>41.165100000000002</v>
      </c>
      <c r="F129">
        <v>254502.861</v>
      </c>
      <c r="G129">
        <v>20.852</v>
      </c>
    </row>
    <row r="130" spans="1:7" x14ac:dyDescent="0.15">
      <c r="A130" s="141" t="s">
        <v>335</v>
      </c>
      <c r="B130">
        <v>14371.34</v>
      </c>
      <c r="C130">
        <v>38.543799999999997</v>
      </c>
      <c r="D130">
        <v>38.586500000000001</v>
      </c>
      <c r="E130">
        <v>38.6464</v>
      </c>
      <c r="F130">
        <v>195245.35699999999</v>
      </c>
      <c r="G130">
        <v>18.423999999999999</v>
      </c>
    </row>
    <row r="131" spans="1:7" x14ac:dyDescent="0.15">
      <c r="A131" s="141" t="s">
        <v>336</v>
      </c>
      <c r="B131">
        <v>8485.7039999999997</v>
      </c>
      <c r="C131">
        <v>34.904200000000003</v>
      </c>
      <c r="D131">
        <v>36.337899999999998</v>
      </c>
      <c r="E131">
        <v>36.494399999999999</v>
      </c>
      <c r="F131">
        <v>138867.97899999999</v>
      </c>
      <c r="G131">
        <v>16.989999999999998</v>
      </c>
    </row>
    <row r="132" spans="1:7" x14ac:dyDescent="0.15">
      <c r="A132" s="141" t="s">
        <v>337</v>
      </c>
      <c r="B132">
        <v>4659.768</v>
      </c>
      <c r="C132">
        <v>30.858000000000001</v>
      </c>
      <c r="D132">
        <v>34.133099999999999</v>
      </c>
      <c r="E132">
        <v>34.3688</v>
      </c>
      <c r="F132">
        <v>88986.096000000005</v>
      </c>
      <c r="G132">
        <v>15.116</v>
      </c>
    </row>
    <row r="133" spans="1:7" x14ac:dyDescent="0.15">
      <c r="A133" s="141" t="s">
        <v>338</v>
      </c>
      <c r="B133">
        <v>2361.672</v>
      </c>
      <c r="C133">
        <v>51.309699999999999</v>
      </c>
      <c r="D133">
        <v>46.157800000000002</v>
      </c>
      <c r="E133">
        <v>45.755400000000002</v>
      </c>
      <c r="F133">
        <v>33304.46</v>
      </c>
      <c r="G133">
        <v>6.4470000000000001</v>
      </c>
    </row>
    <row r="134" spans="1:7" x14ac:dyDescent="0.15">
      <c r="A134" s="141" t="s">
        <v>339</v>
      </c>
      <c r="B134">
        <v>1995.7840000000001</v>
      </c>
      <c r="C134">
        <v>47.580599999999997</v>
      </c>
      <c r="D134">
        <v>42.7423</v>
      </c>
      <c r="E134">
        <v>42.516599999999997</v>
      </c>
      <c r="F134">
        <v>30331.772000000001</v>
      </c>
      <c r="G134">
        <v>6.3029999999999999</v>
      </c>
    </row>
    <row r="135" spans="1:7" x14ac:dyDescent="0.15">
      <c r="A135" s="141" t="s">
        <v>340</v>
      </c>
      <c r="B135">
        <v>1672.7239999999999</v>
      </c>
      <c r="C135">
        <v>43.3232</v>
      </c>
      <c r="D135">
        <v>39.741199999999999</v>
      </c>
      <c r="E135">
        <v>39.769799999999996</v>
      </c>
      <c r="F135">
        <v>26094.916000000001</v>
      </c>
      <c r="G135">
        <v>6.1970000000000001</v>
      </c>
    </row>
    <row r="136" spans="1:7" x14ac:dyDescent="0.15">
      <c r="A136" s="141" t="s">
        <v>341</v>
      </c>
      <c r="B136">
        <v>1315.5160000000001</v>
      </c>
      <c r="C136">
        <v>37.515999999999998</v>
      </c>
      <c r="D136">
        <v>36.8339</v>
      </c>
      <c r="E136">
        <v>37.011899999999997</v>
      </c>
      <c r="F136">
        <v>21559.579000000002</v>
      </c>
      <c r="G136">
        <v>6.1539999999999999</v>
      </c>
    </row>
    <row r="137" spans="1:7" x14ac:dyDescent="0.15">
      <c r="A137" s="141" t="s">
        <v>342</v>
      </c>
      <c r="B137">
        <v>9018.0759999999991</v>
      </c>
      <c r="C137">
        <v>41.404899999999998</v>
      </c>
      <c r="D137">
        <v>43.662599999999998</v>
      </c>
      <c r="E137">
        <v>44.04</v>
      </c>
      <c r="F137">
        <v>106647.59</v>
      </c>
      <c r="G137">
        <v>15.352</v>
      </c>
    </row>
    <row r="138" spans="1:7" x14ac:dyDescent="0.15">
      <c r="A138" s="141" t="s">
        <v>343</v>
      </c>
      <c r="B138">
        <v>4852.3119999999999</v>
      </c>
      <c r="C138">
        <v>39.112499999999997</v>
      </c>
      <c r="D138">
        <v>41.9193</v>
      </c>
      <c r="E138">
        <v>42.133099999999999</v>
      </c>
      <c r="F138">
        <v>69023.326000000001</v>
      </c>
      <c r="G138">
        <v>13.596</v>
      </c>
    </row>
    <row r="139" spans="1:7" x14ac:dyDescent="0.15">
      <c r="A139" s="141" t="s">
        <v>344</v>
      </c>
      <c r="B139">
        <v>2417.8560000000002</v>
      </c>
      <c r="C139">
        <v>36.566699999999997</v>
      </c>
      <c r="D139">
        <v>40.004300000000001</v>
      </c>
      <c r="E139">
        <v>40.099499999999999</v>
      </c>
      <c r="F139">
        <v>41057.730000000003</v>
      </c>
      <c r="G139">
        <v>12.156000000000001</v>
      </c>
    </row>
    <row r="140" spans="1:7" x14ac:dyDescent="0.15">
      <c r="A140" s="141" t="s">
        <v>345</v>
      </c>
      <c r="B140">
        <v>1134.7719999999999</v>
      </c>
      <c r="C140">
        <v>33.747</v>
      </c>
      <c r="D140">
        <v>37.774999999999999</v>
      </c>
      <c r="E140">
        <v>37.715699999999998</v>
      </c>
      <c r="F140">
        <v>23350.455999999998</v>
      </c>
      <c r="G140">
        <v>11.481999999999999</v>
      </c>
    </row>
    <row r="141" spans="1:7" x14ac:dyDescent="0.15">
      <c r="A141" s="141" t="s">
        <v>346</v>
      </c>
      <c r="B141">
        <v>1079.3879999999999</v>
      </c>
      <c r="C141">
        <v>49.9542</v>
      </c>
      <c r="D141">
        <v>50.026200000000003</v>
      </c>
      <c r="E141">
        <v>50.177900000000001</v>
      </c>
      <c r="F141">
        <v>12538.958000000001</v>
      </c>
      <c r="G141">
        <v>8.5559999999999992</v>
      </c>
    </row>
    <row r="142" spans="1:7" x14ac:dyDescent="0.15">
      <c r="A142" s="141" t="s">
        <v>347</v>
      </c>
      <c r="B142">
        <v>795.3</v>
      </c>
      <c r="C142">
        <v>47.568600000000004</v>
      </c>
      <c r="D142">
        <v>47.536799999999999</v>
      </c>
      <c r="E142">
        <v>47.564999999999998</v>
      </c>
      <c r="F142">
        <v>9641</v>
      </c>
      <c r="G142">
        <v>8.5850000000000009</v>
      </c>
    </row>
    <row r="143" spans="1:7" x14ac:dyDescent="0.15">
      <c r="A143" s="141" t="s">
        <v>348</v>
      </c>
      <c r="B143">
        <v>586.09199999999998</v>
      </c>
      <c r="C143">
        <v>44.310200000000002</v>
      </c>
      <c r="D143">
        <v>45.091099999999997</v>
      </c>
      <c r="E143">
        <v>45.0274</v>
      </c>
      <c r="F143">
        <v>7450.5619999999999</v>
      </c>
      <c r="G143">
        <v>8.7729999999999997</v>
      </c>
    </row>
    <row r="144" spans="1:7" x14ac:dyDescent="0.15">
      <c r="A144" s="141" t="s">
        <v>349</v>
      </c>
      <c r="B144">
        <v>430.00799999999998</v>
      </c>
      <c r="C144">
        <v>39.917299999999997</v>
      </c>
      <c r="D144">
        <v>42.534500000000001</v>
      </c>
      <c r="E144">
        <v>42.497</v>
      </c>
      <c r="F144">
        <v>5893.299</v>
      </c>
      <c r="G144">
        <v>9.3849999999999998</v>
      </c>
    </row>
    <row r="145" spans="1:7" x14ac:dyDescent="0.15">
      <c r="A145" s="141" t="s">
        <v>254</v>
      </c>
      <c r="B145">
        <v>17145.407999999999</v>
      </c>
      <c r="C145">
        <v>40.146700000000003</v>
      </c>
      <c r="D145">
        <v>48.568100000000001</v>
      </c>
      <c r="E145">
        <v>46.410699999999999</v>
      </c>
      <c r="F145">
        <v>245875.82800000001</v>
      </c>
      <c r="G145">
        <v>36.213000000000001</v>
      </c>
    </row>
    <row r="146" spans="1:7" x14ac:dyDescent="0.15">
      <c r="A146" s="141" t="s">
        <v>255</v>
      </c>
      <c r="B146">
        <v>8673</v>
      </c>
      <c r="C146">
        <v>39.528100000000002</v>
      </c>
      <c r="D146">
        <v>47.682400000000001</v>
      </c>
      <c r="E146">
        <v>45.258899999999997</v>
      </c>
      <c r="F146">
        <v>138079.859</v>
      </c>
      <c r="G146">
        <v>32.298999999999999</v>
      </c>
    </row>
    <row r="147" spans="1:7" x14ac:dyDescent="0.15">
      <c r="A147" s="141" t="s">
        <v>256</v>
      </c>
      <c r="B147">
        <v>4732.2640000000001</v>
      </c>
      <c r="C147">
        <v>38.5107</v>
      </c>
      <c r="D147">
        <v>46.541899999999998</v>
      </c>
      <c r="E147">
        <v>43.860199999999999</v>
      </c>
      <c r="F147">
        <v>75368.516000000003</v>
      </c>
      <c r="G147">
        <v>27.326000000000001</v>
      </c>
    </row>
    <row r="148" spans="1:7" x14ac:dyDescent="0.15">
      <c r="A148" s="141" t="s">
        <v>257</v>
      </c>
      <c r="B148">
        <v>2586.48</v>
      </c>
      <c r="C148">
        <v>36.9161</v>
      </c>
      <c r="D148">
        <v>45.113100000000003</v>
      </c>
      <c r="E148">
        <v>42.2393</v>
      </c>
      <c r="F148">
        <v>40668.800999999999</v>
      </c>
      <c r="G148">
        <v>23.975000000000001</v>
      </c>
    </row>
    <row r="149" spans="1:7" x14ac:dyDescent="0.15">
      <c r="A149" s="141" t="s">
        <v>258</v>
      </c>
      <c r="B149">
        <v>94534.351999999999</v>
      </c>
      <c r="C149">
        <v>41.641199999999998</v>
      </c>
      <c r="D149">
        <v>36.483899999999998</v>
      </c>
      <c r="E149">
        <v>37.475499999999997</v>
      </c>
      <c r="F149">
        <v>442691.96899999998</v>
      </c>
      <c r="G149">
        <v>39.752000000000002</v>
      </c>
    </row>
    <row r="150" spans="1:7" x14ac:dyDescent="0.15">
      <c r="A150" s="141" t="s">
        <v>259</v>
      </c>
      <c r="B150">
        <v>48486.239999999998</v>
      </c>
      <c r="C150">
        <v>38.858600000000003</v>
      </c>
      <c r="D150">
        <v>34.145600000000002</v>
      </c>
      <c r="E150">
        <v>35.476900000000001</v>
      </c>
      <c r="F150">
        <v>302120.5</v>
      </c>
      <c r="G150">
        <v>32.774000000000001</v>
      </c>
    </row>
    <row r="151" spans="1:7" x14ac:dyDescent="0.15">
      <c r="A151" s="141" t="s">
        <v>260</v>
      </c>
      <c r="B151">
        <v>22411.984</v>
      </c>
      <c r="C151">
        <v>35.753599999999999</v>
      </c>
      <c r="D151">
        <v>32.193199999999997</v>
      </c>
      <c r="E151">
        <v>33.756900000000002</v>
      </c>
      <c r="F151">
        <v>193222.125</v>
      </c>
      <c r="G151">
        <v>27.76</v>
      </c>
    </row>
    <row r="152" spans="1:7" x14ac:dyDescent="0.15">
      <c r="A152" s="141" t="s">
        <v>261</v>
      </c>
      <c r="B152">
        <v>9355.0640000000003</v>
      </c>
      <c r="C152">
        <v>32.717599999999997</v>
      </c>
      <c r="D152">
        <v>30.5016</v>
      </c>
      <c r="E152">
        <v>32.279699999999998</v>
      </c>
      <c r="F152">
        <v>108174.859</v>
      </c>
      <c r="G152">
        <v>24.469000000000001</v>
      </c>
    </row>
    <row r="153" spans="1:7" x14ac:dyDescent="0.15">
      <c r="A153" s="141" t="s">
        <v>262</v>
      </c>
      <c r="B153">
        <v>47378.12</v>
      </c>
      <c r="C153">
        <v>38.890599999999999</v>
      </c>
      <c r="D153">
        <v>41.020099999999999</v>
      </c>
      <c r="E153">
        <v>41.2744</v>
      </c>
      <c r="F153">
        <v>243916.68799999999</v>
      </c>
      <c r="G153">
        <v>21.864000000000001</v>
      </c>
    </row>
    <row r="154" spans="1:7" x14ac:dyDescent="0.15">
      <c r="A154" s="141" t="s">
        <v>263</v>
      </c>
      <c r="B154">
        <v>23269.272000000001</v>
      </c>
      <c r="C154">
        <v>37.511000000000003</v>
      </c>
      <c r="D154">
        <v>38.485999999999997</v>
      </c>
      <c r="E154">
        <v>39.768999999999998</v>
      </c>
      <c r="F154">
        <v>141293.78099999999</v>
      </c>
      <c r="G154">
        <v>18.306000000000001</v>
      </c>
    </row>
    <row r="155" spans="1:7" x14ac:dyDescent="0.15">
      <c r="A155" s="141" t="s">
        <v>264</v>
      </c>
      <c r="B155">
        <v>12087.103999999999</v>
      </c>
      <c r="C155">
        <v>35.930399999999999</v>
      </c>
      <c r="D155">
        <v>36.295499999999997</v>
      </c>
      <c r="E155">
        <v>38.302399999999999</v>
      </c>
      <c r="F155">
        <v>88936.687999999995</v>
      </c>
      <c r="G155">
        <v>15.932</v>
      </c>
    </row>
    <row r="156" spans="1:7" x14ac:dyDescent="0.15">
      <c r="A156" s="141" t="s">
        <v>265</v>
      </c>
      <c r="B156">
        <v>5918.7280000000001</v>
      </c>
      <c r="C156">
        <v>33.989699999999999</v>
      </c>
      <c r="D156">
        <v>33.886400000000002</v>
      </c>
      <c r="E156">
        <v>36.584299999999999</v>
      </c>
      <c r="F156">
        <v>53202.722999999998</v>
      </c>
      <c r="G156">
        <v>14.045999999999999</v>
      </c>
    </row>
    <row r="157" spans="1:7" x14ac:dyDescent="0.15">
      <c r="A157" s="141" t="s">
        <v>266</v>
      </c>
      <c r="B157">
        <v>24794.815999999999</v>
      </c>
      <c r="C157">
        <v>37.5062</v>
      </c>
      <c r="D157">
        <v>44.789900000000003</v>
      </c>
      <c r="E157">
        <v>42.475999999999999</v>
      </c>
      <c r="F157">
        <v>361211.53100000002</v>
      </c>
      <c r="G157">
        <v>34.682000000000002</v>
      </c>
    </row>
    <row r="158" spans="1:7" x14ac:dyDescent="0.15">
      <c r="A158" s="141" t="s">
        <v>267</v>
      </c>
      <c r="B158">
        <v>10576.224</v>
      </c>
      <c r="C158">
        <v>36.86</v>
      </c>
      <c r="D158">
        <v>44.049199999999999</v>
      </c>
      <c r="E158">
        <v>41.677700000000002</v>
      </c>
      <c r="F158">
        <v>185415.5</v>
      </c>
      <c r="G158">
        <v>28.311</v>
      </c>
    </row>
    <row r="159" spans="1:7" x14ac:dyDescent="0.15">
      <c r="A159" s="141" t="s">
        <v>268</v>
      </c>
      <c r="B159">
        <v>5309.4319999999998</v>
      </c>
      <c r="C159">
        <v>35.82</v>
      </c>
      <c r="D159">
        <v>42.9895</v>
      </c>
      <c r="E159">
        <v>40.558199999999999</v>
      </c>
      <c r="F159">
        <v>99848.312000000005</v>
      </c>
      <c r="G159">
        <v>23.742000000000001</v>
      </c>
    </row>
    <row r="160" spans="1:7" x14ac:dyDescent="0.15">
      <c r="A160" s="141" t="s">
        <v>269</v>
      </c>
      <c r="B160">
        <v>2641.752</v>
      </c>
      <c r="C160">
        <v>34.209200000000003</v>
      </c>
      <c r="D160">
        <v>41.629600000000003</v>
      </c>
      <c r="E160">
        <v>39.354199999999999</v>
      </c>
      <c r="F160">
        <v>51410.34</v>
      </c>
      <c r="G160">
        <v>19.376000000000001</v>
      </c>
    </row>
    <row r="161" spans="1:7" x14ac:dyDescent="0.15">
      <c r="A161" s="141" t="s">
        <v>142</v>
      </c>
      <c r="B161">
        <v>8380.8575999999994</v>
      </c>
      <c r="C161">
        <v>37.951099999999997</v>
      </c>
      <c r="D161">
        <v>39.555900000000001</v>
      </c>
      <c r="E161">
        <v>42.55</v>
      </c>
      <c r="F161">
        <v>411789</v>
      </c>
      <c r="G161">
        <v>30.033999999999999</v>
      </c>
    </row>
    <row r="162" spans="1:7" x14ac:dyDescent="0.15">
      <c r="A162" s="141" t="s">
        <v>143</v>
      </c>
      <c r="B162">
        <v>3975.3728000000001</v>
      </c>
      <c r="C162">
        <v>36.589500000000001</v>
      </c>
      <c r="D162">
        <v>38.840800000000002</v>
      </c>
      <c r="E162">
        <v>41.350999999999999</v>
      </c>
      <c r="F162">
        <v>238248.141</v>
      </c>
      <c r="G162">
        <v>24.172000000000001</v>
      </c>
    </row>
    <row r="163" spans="1:7" x14ac:dyDescent="0.15">
      <c r="A163" s="141" t="s">
        <v>144</v>
      </c>
      <c r="B163">
        <v>1952.5616</v>
      </c>
      <c r="C163">
        <v>34.750599999999999</v>
      </c>
      <c r="D163">
        <v>37.945099999999996</v>
      </c>
      <c r="E163">
        <v>39.789700000000003</v>
      </c>
      <c r="F163">
        <v>140807.34400000001</v>
      </c>
      <c r="G163">
        <v>20.148</v>
      </c>
    </row>
    <row r="164" spans="1:7" x14ac:dyDescent="0.15">
      <c r="A164" s="141" t="s">
        <v>145</v>
      </c>
      <c r="B164">
        <v>927.6336</v>
      </c>
      <c r="C164">
        <v>32.416899999999998</v>
      </c>
      <c r="D164">
        <v>36.8108</v>
      </c>
      <c r="E164">
        <v>38.077399999999997</v>
      </c>
      <c r="F164">
        <v>80772.452999999994</v>
      </c>
      <c r="G164">
        <v>16.425000000000001</v>
      </c>
    </row>
    <row r="165" spans="1:7" x14ac:dyDescent="0.15">
      <c r="A165" s="141" t="s">
        <v>146</v>
      </c>
      <c r="B165">
        <v>9658.0144</v>
      </c>
      <c r="C165">
        <v>38.687100000000001</v>
      </c>
      <c r="D165">
        <v>43.515700000000002</v>
      </c>
      <c r="E165">
        <v>44.398099999999999</v>
      </c>
      <c r="F165">
        <v>426677.28100000002</v>
      </c>
      <c r="G165">
        <v>39.959000000000003</v>
      </c>
    </row>
    <row r="166" spans="1:7" x14ac:dyDescent="0.15">
      <c r="A166" s="141" t="s">
        <v>147</v>
      </c>
      <c r="B166">
        <v>4957.2928000000002</v>
      </c>
      <c r="C166">
        <v>37.447800000000001</v>
      </c>
      <c r="D166">
        <v>42.489600000000003</v>
      </c>
      <c r="E166">
        <v>42.84</v>
      </c>
      <c r="F166">
        <v>259810.234</v>
      </c>
      <c r="G166">
        <v>34.948999999999998</v>
      </c>
    </row>
    <row r="167" spans="1:7" x14ac:dyDescent="0.15">
      <c r="A167" s="141" t="s">
        <v>148</v>
      </c>
      <c r="B167">
        <v>2519.8591999999999</v>
      </c>
      <c r="C167">
        <v>35.746899999999997</v>
      </c>
      <c r="D167">
        <v>41.144399999999997</v>
      </c>
      <c r="E167">
        <v>41.003399999999999</v>
      </c>
      <c r="F167">
        <v>154213.79699999999</v>
      </c>
      <c r="G167">
        <v>29.157</v>
      </c>
    </row>
    <row r="168" spans="1:7" x14ac:dyDescent="0.15">
      <c r="A168" s="141" t="s">
        <v>149</v>
      </c>
      <c r="B168">
        <v>1248.1472000000001</v>
      </c>
      <c r="C168">
        <v>33.648800000000001</v>
      </c>
      <c r="D168">
        <v>39.712600000000002</v>
      </c>
      <c r="E168">
        <v>39.100499999999997</v>
      </c>
      <c r="F168">
        <v>87911.672000000006</v>
      </c>
      <c r="G168">
        <v>23.818000000000001</v>
      </c>
    </row>
    <row r="169" spans="1:7" x14ac:dyDescent="0.15">
      <c r="A169" s="141" t="s">
        <v>270</v>
      </c>
      <c r="B169">
        <v>6598.5568000000003</v>
      </c>
      <c r="C169">
        <v>39.776800000000001</v>
      </c>
      <c r="D169">
        <v>43.434199999999997</v>
      </c>
      <c r="E169">
        <v>44.283099999999997</v>
      </c>
      <c r="F169">
        <v>375841.68800000002</v>
      </c>
      <c r="G169">
        <v>42.509</v>
      </c>
    </row>
    <row r="170" spans="1:7" x14ac:dyDescent="0.15">
      <c r="A170" s="141" t="s">
        <v>271</v>
      </c>
      <c r="B170">
        <v>3152.8496</v>
      </c>
      <c r="C170">
        <v>38.475299999999997</v>
      </c>
      <c r="D170">
        <v>42.505800000000001</v>
      </c>
      <c r="E170">
        <v>43.343800000000002</v>
      </c>
      <c r="F170">
        <v>214265.625</v>
      </c>
      <c r="G170">
        <v>34.649000000000001</v>
      </c>
    </row>
    <row r="171" spans="1:7" x14ac:dyDescent="0.15">
      <c r="A171" s="141" t="s">
        <v>272</v>
      </c>
      <c r="B171">
        <v>1518.8527999999999</v>
      </c>
      <c r="C171">
        <v>36.656500000000001</v>
      </c>
      <c r="D171">
        <v>41.2684</v>
      </c>
      <c r="E171">
        <v>41.975200000000001</v>
      </c>
      <c r="F171">
        <v>121111.17200000001</v>
      </c>
      <c r="G171">
        <v>29.666</v>
      </c>
    </row>
    <row r="172" spans="1:7" x14ac:dyDescent="0.15">
      <c r="A172" s="141" t="s">
        <v>273</v>
      </c>
      <c r="B172">
        <v>710.59519999999998</v>
      </c>
      <c r="C172">
        <v>34.356000000000002</v>
      </c>
      <c r="D172">
        <v>40.125999999999998</v>
      </c>
      <c r="E172">
        <v>40.621200000000002</v>
      </c>
      <c r="F172">
        <v>65716.968999999997</v>
      </c>
      <c r="G172">
        <v>24.305</v>
      </c>
    </row>
    <row r="173" spans="1:7" x14ac:dyDescent="0.15">
      <c r="A173" s="141" t="s">
        <v>274</v>
      </c>
      <c r="B173">
        <v>7065.1264000000001</v>
      </c>
      <c r="C173">
        <v>43.286999999999999</v>
      </c>
      <c r="D173">
        <v>46.082700000000003</v>
      </c>
      <c r="E173">
        <v>46.796100000000003</v>
      </c>
      <c r="F173">
        <v>310476.59399999998</v>
      </c>
      <c r="G173">
        <v>43.143000000000001</v>
      </c>
    </row>
    <row r="174" spans="1:7" x14ac:dyDescent="0.15">
      <c r="A174" s="141" t="s">
        <v>275</v>
      </c>
      <c r="B174">
        <v>4299.9183999999996</v>
      </c>
      <c r="C174">
        <v>40.9696</v>
      </c>
      <c r="D174">
        <v>44.570700000000002</v>
      </c>
      <c r="E174">
        <v>45.102800000000002</v>
      </c>
      <c r="F174">
        <v>217772.71900000001</v>
      </c>
      <c r="G174">
        <v>37.819000000000003</v>
      </c>
    </row>
    <row r="175" spans="1:7" x14ac:dyDescent="0.15">
      <c r="A175" s="141" t="s">
        <v>276</v>
      </c>
      <c r="B175">
        <v>2372.4416000000001</v>
      </c>
      <c r="C175">
        <v>38.164700000000003</v>
      </c>
      <c r="D175">
        <v>42.932000000000002</v>
      </c>
      <c r="E175">
        <v>43.236199999999997</v>
      </c>
      <c r="F175">
        <v>140581.92199999999</v>
      </c>
      <c r="G175">
        <v>32.24</v>
      </c>
    </row>
    <row r="176" spans="1:7" x14ac:dyDescent="0.15">
      <c r="A176" s="141" t="s">
        <v>277</v>
      </c>
      <c r="B176">
        <v>1232.8112000000001</v>
      </c>
      <c r="C176">
        <v>35.21</v>
      </c>
      <c r="D176">
        <v>41.435400000000001</v>
      </c>
      <c r="E176">
        <v>41.444200000000002</v>
      </c>
      <c r="F176">
        <v>83790.804999999993</v>
      </c>
      <c r="G176">
        <v>26.445</v>
      </c>
    </row>
    <row r="177" spans="1:7" x14ac:dyDescent="0.15">
      <c r="A177" s="141" t="s">
        <v>150</v>
      </c>
      <c r="B177" s="71">
        <v>4887.5824000000002</v>
      </c>
      <c r="C177" s="71">
        <v>38.368699999999997</v>
      </c>
      <c r="D177" s="71">
        <v>44.987000000000002</v>
      </c>
      <c r="E177" s="71">
        <v>45.274900000000002</v>
      </c>
      <c r="F177" s="71">
        <v>219870.016</v>
      </c>
      <c r="G177" s="71">
        <v>18.89</v>
      </c>
    </row>
    <row r="178" spans="1:7" x14ac:dyDescent="0.15">
      <c r="A178" s="141" t="s">
        <v>151</v>
      </c>
      <c r="B178" s="71">
        <v>1709.4656</v>
      </c>
      <c r="C178" s="71">
        <v>36.369900000000001</v>
      </c>
      <c r="D178" s="71">
        <v>43.770099999999999</v>
      </c>
      <c r="E178" s="71">
        <v>44.099400000000003</v>
      </c>
      <c r="F178" s="71">
        <v>109013.344</v>
      </c>
      <c r="G178" s="71">
        <v>13.965999999999999</v>
      </c>
    </row>
    <row r="179" spans="1:7" x14ac:dyDescent="0.15">
      <c r="A179" s="141" t="s">
        <v>152</v>
      </c>
      <c r="B179" s="71">
        <v>672.23519999999996</v>
      </c>
      <c r="C179" s="71">
        <v>33.919600000000003</v>
      </c>
      <c r="D179" s="71">
        <v>42.164200000000001</v>
      </c>
      <c r="E179" s="71">
        <v>42.492199999999997</v>
      </c>
      <c r="F179" s="71">
        <v>59925.851999999999</v>
      </c>
      <c r="G179" s="71">
        <v>10.853</v>
      </c>
    </row>
    <row r="180" spans="1:7" x14ac:dyDescent="0.15">
      <c r="A180" s="141" t="s">
        <v>153</v>
      </c>
      <c r="B180" s="71">
        <v>280.84320000000002</v>
      </c>
      <c r="C180" s="71">
        <v>30.890899999999998</v>
      </c>
      <c r="D180" s="71">
        <v>40.843000000000004</v>
      </c>
      <c r="E180" s="71">
        <v>41.336500000000001</v>
      </c>
      <c r="F180" s="71">
        <v>34148.288999999997</v>
      </c>
      <c r="G180" s="71">
        <v>8.7200000000000006</v>
      </c>
    </row>
    <row r="181" spans="1:7" x14ac:dyDescent="0.15">
      <c r="A181" s="141" t="s">
        <v>154</v>
      </c>
      <c r="B181" s="71">
        <v>3998.0383999999999</v>
      </c>
      <c r="C181" s="71">
        <v>40.4604</v>
      </c>
      <c r="D181" s="71">
        <v>45.130200000000002</v>
      </c>
      <c r="E181" s="71">
        <v>45.914900000000003</v>
      </c>
      <c r="F181" s="71">
        <v>192065.359</v>
      </c>
      <c r="G181" s="71">
        <v>20.707999999999998</v>
      </c>
    </row>
    <row r="182" spans="1:7" x14ac:dyDescent="0.15">
      <c r="A182" s="141" t="s">
        <v>155</v>
      </c>
      <c r="B182" s="71">
        <v>1834.3471999999999</v>
      </c>
      <c r="C182" s="71">
        <v>38.825600000000001</v>
      </c>
      <c r="D182" s="71">
        <v>44.215400000000002</v>
      </c>
      <c r="E182" s="71">
        <v>44.326300000000003</v>
      </c>
      <c r="F182" s="71">
        <v>111740.141</v>
      </c>
      <c r="G182" s="71">
        <v>16.901</v>
      </c>
    </row>
    <row r="183" spans="1:7" x14ac:dyDescent="0.15">
      <c r="A183" s="141" t="s">
        <v>156</v>
      </c>
      <c r="B183" s="71">
        <v>879.59199999999998</v>
      </c>
      <c r="C183" s="71">
        <v>36.881</v>
      </c>
      <c r="D183" s="71">
        <v>43.117800000000003</v>
      </c>
      <c r="E183" s="71">
        <v>42.434800000000003</v>
      </c>
      <c r="F183" s="71">
        <v>62557.559000000001</v>
      </c>
      <c r="G183" s="71">
        <v>13.422000000000001</v>
      </c>
    </row>
    <row r="184" spans="1:7" x14ac:dyDescent="0.15">
      <c r="A184" s="141" t="s">
        <v>157</v>
      </c>
      <c r="B184" s="71">
        <v>412.81279999999998</v>
      </c>
      <c r="C184" s="71">
        <v>34.646999999999998</v>
      </c>
      <c r="D184" s="71">
        <v>41.804200000000002</v>
      </c>
      <c r="E184" s="71">
        <v>40.537500000000001</v>
      </c>
      <c r="F184" s="71">
        <v>33568.226999999999</v>
      </c>
      <c r="G184" s="71">
        <v>10.464</v>
      </c>
    </row>
    <row r="185" spans="1:7" x14ac:dyDescent="0.15">
      <c r="A185" s="141" t="s">
        <v>158</v>
      </c>
      <c r="B185" s="71">
        <v>988.52959999999996</v>
      </c>
      <c r="C185" s="71">
        <v>42.904600000000002</v>
      </c>
      <c r="D185" s="71">
        <v>46.4893</v>
      </c>
      <c r="E185" s="71">
        <v>47.313699999999997</v>
      </c>
      <c r="F185" s="71">
        <v>69940.797000000006</v>
      </c>
      <c r="G185" s="71">
        <v>9.5839999999999996</v>
      </c>
    </row>
    <row r="186" spans="1:7" x14ac:dyDescent="0.15">
      <c r="A186" s="141" t="s">
        <v>159</v>
      </c>
      <c r="B186" s="71">
        <v>508.7824</v>
      </c>
      <c r="C186" s="71">
        <v>41.276499999999999</v>
      </c>
      <c r="D186" s="71">
        <v>45.559600000000003</v>
      </c>
      <c r="E186" s="71">
        <v>46.184399999999997</v>
      </c>
      <c r="F186" s="71">
        <v>41244.391000000003</v>
      </c>
      <c r="G186" s="71">
        <v>8.1989999999999998</v>
      </c>
    </row>
    <row r="187" spans="1:7" x14ac:dyDescent="0.15">
      <c r="A187" s="141" t="s">
        <v>160</v>
      </c>
      <c r="B187" s="71">
        <v>271.43200000000002</v>
      </c>
      <c r="C187" s="71">
        <v>39.090000000000003</v>
      </c>
      <c r="D187" s="71">
        <v>44.197600000000001</v>
      </c>
      <c r="E187" s="71">
        <v>44.595300000000002</v>
      </c>
      <c r="F187" s="71">
        <v>23884.822</v>
      </c>
      <c r="G187" s="71">
        <v>6.6849999999999996</v>
      </c>
    </row>
    <row r="188" spans="1:7" x14ac:dyDescent="0.15">
      <c r="A188" s="141" t="s">
        <v>161</v>
      </c>
      <c r="B188" s="71">
        <v>147.96</v>
      </c>
      <c r="C188" s="71">
        <v>36.278399999999998</v>
      </c>
      <c r="D188" s="71">
        <v>42.571199999999997</v>
      </c>
      <c r="E188" s="71">
        <v>42.852800000000002</v>
      </c>
      <c r="F188" s="71">
        <v>14273.574000000001</v>
      </c>
      <c r="G188" s="71">
        <v>6.0759999999999996</v>
      </c>
    </row>
    <row r="189" spans="1:7" x14ac:dyDescent="0.15">
      <c r="A189" s="141" t="s">
        <v>162</v>
      </c>
      <c r="B189" s="71">
        <v>1369.184</v>
      </c>
      <c r="C189" s="71">
        <v>42.606299999999997</v>
      </c>
      <c r="D189" s="71">
        <v>48.028700000000001</v>
      </c>
      <c r="E189" s="71">
        <v>47.399299999999997</v>
      </c>
      <c r="F189" s="71">
        <v>76945.391000000003</v>
      </c>
      <c r="G189" s="71">
        <v>10.619</v>
      </c>
    </row>
    <row r="190" spans="1:7" x14ac:dyDescent="0.15">
      <c r="A190" s="141" t="s">
        <v>163</v>
      </c>
      <c r="B190" s="71">
        <v>676.90239999999994</v>
      </c>
      <c r="C190" s="71">
        <v>40.9101</v>
      </c>
      <c r="D190" s="71">
        <v>47.203600000000002</v>
      </c>
      <c r="E190" s="71">
        <v>46.173200000000001</v>
      </c>
      <c r="F190" s="71">
        <v>44649.565999999999</v>
      </c>
      <c r="G190" s="71">
        <v>9.048</v>
      </c>
    </row>
    <row r="191" spans="1:7" x14ac:dyDescent="0.15">
      <c r="A191" s="141" t="s">
        <v>164</v>
      </c>
      <c r="B191" s="71">
        <v>359.14080000000001</v>
      </c>
      <c r="C191" s="71">
        <v>38.5944</v>
      </c>
      <c r="D191" s="71">
        <v>46.064900000000002</v>
      </c>
      <c r="E191" s="71">
        <v>44.511600000000001</v>
      </c>
      <c r="F191" s="71">
        <v>26212.217000000001</v>
      </c>
      <c r="G191" s="71">
        <v>7.4420000000000002</v>
      </c>
    </row>
    <row r="192" spans="1:7" x14ac:dyDescent="0.15">
      <c r="A192" s="141" t="s">
        <v>165</v>
      </c>
      <c r="B192" s="71">
        <v>196.32480000000001</v>
      </c>
      <c r="C192" s="71">
        <v>35.512500000000003</v>
      </c>
      <c r="D192" s="71">
        <v>44.866500000000002</v>
      </c>
      <c r="E192" s="71">
        <v>42.4617</v>
      </c>
      <c r="F192" s="71">
        <v>16337.614</v>
      </c>
      <c r="G192" s="71">
        <v>6.5170000000000003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>
        <v>25990.963199999998</v>
      </c>
      <c r="C201" s="71">
        <v>42.33</v>
      </c>
      <c r="D201" s="71">
        <v>41.000399999999999</v>
      </c>
      <c r="E201" s="71">
        <v>41.137</v>
      </c>
      <c r="F201" s="71">
        <v>691092.81200000003</v>
      </c>
      <c r="G201" s="71">
        <v>48.826000000000001</v>
      </c>
    </row>
    <row r="202" spans="1:7" x14ac:dyDescent="0.15">
      <c r="A202" s="141" t="s">
        <v>351</v>
      </c>
      <c r="B202" s="71">
        <v>15716.3056</v>
      </c>
      <c r="C202" s="71">
        <v>38.855899999999998</v>
      </c>
      <c r="D202" s="71">
        <v>38.237400000000001</v>
      </c>
      <c r="E202" s="71">
        <v>38.371000000000002</v>
      </c>
      <c r="F202" s="71">
        <v>523215.5</v>
      </c>
      <c r="G202" s="71">
        <v>41.866</v>
      </c>
    </row>
    <row r="203" spans="1:7" x14ac:dyDescent="0.15">
      <c r="A203" s="141" t="s">
        <v>352</v>
      </c>
      <c r="B203" s="71">
        <v>8784.2160000000003</v>
      </c>
      <c r="C203" s="71">
        <v>35.038400000000003</v>
      </c>
      <c r="D203" s="71">
        <v>35.729100000000003</v>
      </c>
      <c r="E203" s="71">
        <v>35.885100000000001</v>
      </c>
      <c r="F203" s="71">
        <v>371242.21899999998</v>
      </c>
      <c r="G203" s="71">
        <v>36.673000000000002</v>
      </c>
    </row>
    <row r="204" spans="1:7" x14ac:dyDescent="0.15">
      <c r="A204" s="141" t="s">
        <v>353</v>
      </c>
      <c r="B204" s="71">
        <v>4730.9791999999998</v>
      </c>
      <c r="C204" s="71">
        <v>31.058199999999999</v>
      </c>
      <c r="D204" s="71">
        <v>33.380299999999998</v>
      </c>
      <c r="E204" s="71">
        <v>33.579599999999999</v>
      </c>
      <c r="F204" s="71">
        <v>242924.391</v>
      </c>
      <c r="G204" s="71">
        <v>32.235999999999997</v>
      </c>
    </row>
    <row r="205" spans="1:7" x14ac:dyDescent="0.15">
      <c r="A205" s="141" t="s">
        <v>354</v>
      </c>
      <c r="B205" s="71">
        <v>1671.3679999999999</v>
      </c>
      <c r="C205" s="71">
        <v>49.1357</v>
      </c>
      <c r="D205" s="71">
        <v>43.760300000000001</v>
      </c>
      <c r="E205" s="71">
        <v>43.6252</v>
      </c>
      <c r="F205" s="71">
        <v>100690.984</v>
      </c>
      <c r="G205" s="71">
        <v>13.631</v>
      </c>
    </row>
    <row r="206" spans="1:7" x14ac:dyDescent="0.15">
      <c r="A206" s="141" t="s">
        <v>355</v>
      </c>
      <c r="B206" s="71">
        <v>1434.6704</v>
      </c>
      <c r="C206" s="71">
        <v>45.704500000000003</v>
      </c>
      <c r="D206" s="71">
        <v>40.827199999999998</v>
      </c>
      <c r="E206" s="71">
        <v>40.913499999999999</v>
      </c>
      <c r="F206" s="71">
        <v>90050.718999999997</v>
      </c>
      <c r="G206" s="71">
        <v>13.228999999999999</v>
      </c>
    </row>
    <row r="207" spans="1:7" x14ac:dyDescent="0.15">
      <c r="A207" s="141" t="s">
        <v>356</v>
      </c>
      <c r="B207" s="71">
        <v>1232.8943999999999</v>
      </c>
      <c r="C207" s="71">
        <v>41.211399999999998</v>
      </c>
      <c r="D207" s="71">
        <v>38.141199999999998</v>
      </c>
      <c r="E207" s="71">
        <v>38.447200000000002</v>
      </c>
      <c r="F207" s="71">
        <v>78700.577999999994</v>
      </c>
      <c r="G207" s="71">
        <v>13.551</v>
      </c>
    </row>
    <row r="208" spans="1:7" x14ac:dyDescent="0.15">
      <c r="A208" s="141" t="s">
        <v>357</v>
      </c>
      <c r="B208" s="71">
        <v>1024.5824</v>
      </c>
      <c r="C208" s="71">
        <v>35.427900000000001</v>
      </c>
      <c r="D208" s="71">
        <v>35.748800000000003</v>
      </c>
      <c r="E208" s="71">
        <v>36.055900000000001</v>
      </c>
      <c r="F208" s="71">
        <v>66835.226999999999</v>
      </c>
      <c r="G208" s="71">
        <v>13.32</v>
      </c>
    </row>
    <row r="209" spans="1:7" x14ac:dyDescent="0.15">
      <c r="A209" s="141" t="s">
        <v>358</v>
      </c>
      <c r="B209" s="71">
        <v>10012.4208</v>
      </c>
      <c r="C209" s="71">
        <v>40.8399</v>
      </c>
      <c r="D209" s="71">
        <v>42.591999999999999</v>
      </c>
      <c r="E209" s="71">
        <v>43.017899999999997</v>
      </c>
      <c r="F209" s="71">
        <v>349871.09399999998</v>
      </c>
      <c r="G209" s="71">
        <v>30.332999999999998</v>
      </c>
    </row>
    <row r="210" spans="1:7" x14ac:dyDescent="0.15">
      <c r="A210" s="141" t="s">
        <v>359</v>
      </c>
      <c r="B210" s="71">
        <v>5272.2655999999997</v>
      </c>
      <c r="C210" s="71">
        <v>38.420900000000003</v>
      </c>
      <c r="D210" s="71">
        <v>40.778700000000001</v>
      </c>
      <c r="E210" s="71">
        <v>41.05</v>
      </c>
      <c r="F210" s="71">
        <v>232255.53099999999</v>
      </c>
      <c r="G210" s="71">
        <v>25.643999999999998</v>
      </c>
    </row>
    <row r="211" spans="1:7" x14ac:dyDescent="0.15">
      <c r="A211" s="141" t="s">
        <v>360</v>
      </c>
      <c r="B211" s="71">
        <v>2525.1887999999999</v>
      </c>
      <c r="C211" s="71">
        <v>35.7286</v>
      </c>
      <c r="D211" s="71">
        <v>38.7179</v>
      </c>
      <c r="E211" s="71">
        <v>38.8872</v>
      </c>
      <c r="F211" s="71">
        <v>143233.484</v>
      </c>
      <c r="G211" s="71">
        <v>20.960999999999999</v>
      </c>
    </row>
    <row r="212" spans="1:7" x14ac:dyDescent="0.15">
      <c r="A212" s="141" t="s">
        <v>361</v>
      </c>
      <c r="B212" s="71">
        <v>1180.2752</v>
      </c>
      <c r="C212" s="71">
        <v>32.891800000000003</v>
      </c>
      <c r="D212" s="71">
        <v>36.635300000000001</v>
      </c>
      <c r="E212" s="71">
        <v>36.680799999999998</v>
      </c>
      <c r="F212" s="71">
        <v>84201.516000000003</v>
      </c>
      <c r="G212" s="71">
        <v>17.43</v>
      </c>
    </row>
    <row r="213" spans="1:7" x14ac:dyDescent="0.15">
      <c r="A213" s="141" t="s">
        <v>362</v>
      </c>
      <c r="B213" s="71">
        <v>679.61919999999998</v>
      </c>
      <c r="C213" s="71">
        <v>48.5227</v>
      </c>
      <c r="D213" s="71">
        <v>48.808500000000002</v>
      </c>
      <c r="E213" s="71">
        <v>48.8765</v>
      </c>
      <c r="F213" s="71">
        <v>40980.315999999999</v>
      </c>
      <c r="G213" s="71">
        <v>12.44</v>
      </c>
    </row>
    <row r="214" spans="1:7" x14ac:dyDescent="0.15">
      <c r="A214" s="141" t="s">
        <v>363</v>
      </c>
      <c r="B214" s="71">
        <v>438.42720000000003</v>
      </c>
      <c r="C214" s="71">
        <v>45.831899999999997</v>
      </c>
      <c r="D214" s="71">
        <v>46.500599999999999</v>
      </c>
      <c r="E214" s="71">
        <v>46.603700000000003</v>
      </c>
      <c r="F214" s="71">
        <v>30515.815999999999</v>
      </c>
      <c r="G214" s="71">
        <v>12.02</v>
      </c>
    </row>
    <row r="215" spans="1:7" x14ac:dyDescent="0.15">
      <c r="A215" s="141" t="s">
        <v>364</v>
      </c>
      <c r="B215" s="71">
        <v>285.1968</v>
      </c>
      <c r="C215" s="71">
        <v>42.400700000000001</v>
      </c>
      <c r="D215" s="71">
        <v>44.162199999999999</v>
      </c>
      <c r="E215" s="71">
        <v>43.981000000000002</v>
      </c>
      <c r="F215" s="71">
        <v>22653.609</v>
      </c>
      <c r="G215" s="71">
        <v>11.872</v>
      </c>
    </row>
    <row r="216" spans="1:7" x14ac:dyDescent="0.15">
      <c r="A216" s="141" t="s">
        <v>365</v>
      </c>
      <c r="B216" s="71">
        <v>196.3776</v>
      </c>
      <c r="C216" s="71">
        <v>37.690100000000001</v>
      </c>
      <c r="D216" s="71">
        <v>42.165500000000002</v>
      </c>
      <c r="E216" s="71">
        <v>42.063600000000001</v>
      </c>
      <c r="F216" s="71">
        <v>17947.046999999999</v>
      </c>
      <c r="G216" s="71">
        <v>11.427</v>
      </c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391</v>
      </c>
    </row>
    <row r="274" spans="1:1" x14ac:dyDescent="0.15">
      <c r="A274" s="141" t="s">
        <v>392</v>
      </c>
    </row>
    <row r="275" spans="1:1" x14ac:dyDescent="0.15">
      <c r="A275" s="141" t="s">
        <v>393</v>
      </c>
    </row>
    <row r="276" spans="1:1" x14ac:dyDescent="0.15">
      <c r="A276" s="141" t="s">
        <v>394</v>
      </c>
    </row>
    <row r="277" spans="1:1" x14ac:dyDescent="0.15">
      <c r="A277" s="141" t="s">
        <v>395</v>
      </c>
    </row>
    <row r="278" spans="1:1" x14ac:dyDescent="0.15">
      <c r="A278" s="141" t="s">
        <v>396</v>
      </c>
    </row>
    <row r="279" spans="1:1" x14ac:dyDescent="0.15">
      <c r="A279" s="141" t="s">
        <v>397</v>
      </c>
    </row>
    <row r="280" spans="1:1" x14ac:dyDescent="0.15">
      <c r="A280" s="141" t="s">
        <v>398</v>
      </c>
    </row>
    <row r="281" spans="1:1" x14ac:dyDescent="0.15">
      <c r="A281" s="141" t="s">
        <v>399</v>
      </c>
    </row>
    <row r="282" spans="1:1" x14ac:dyDescent="0.15">
      <c r="A282" s="141" t="s">
        <v>400</v>
      </c>
    </row>
    <row r="283" spans="1:1" x14ac:dyDescent="0.15">
      <c r="A283" s="141" t="s">
        <v>401</v>
      </c>
    </row>
    <row r="284" spans="1:1" x14ac:dyDescent="0.15">
      <c r="A284" s="141" t="s">
        <v>402</v>
      </c>
    </row>
    <row r="285" spans="1:1" x14ac:dyDescent="0.15">
      <c r="A285" s="141" t="s">
        <v>403</v>
      </c>
    </row>
    <row r="286" spans="1:1" x14ac:dyDescent="0.15">
      <c r="A286" s="141" t="s">
        <v>404</v>
      </c>
    </row>
    <row r="287" spans="1:1" x14ac:dyDescent="0.15">
      <c r="A287" s="141" t="s">
        <v>405</v>
      </c>
    </row>
    <row r="288" spans="1:1" x14ac:dyDescent="0.15">
      <c r="A288" s="141" t="s">
        <v>406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zhaoyin (Yin)</cp:lastModifiedBy>
  <dcterms:created xsi:type="dcterms:W3CDTF">2011-06-30T00:09:01Z</dcterms:created>
  <dcterms:modified xsi:type="dcterms:W3CDTF">2020-06-08T01:33:57Z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