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8.0\res\"/>
    </mc:Choice>
  </mc:AlternateContent>
  <xr:revisionPtr revIDLastSave="0" documentId="13_ncr:1_{F51A4D5C-ADBB-4CA0-9962-C699054D79F5}" xr6:coauthVersionLast="36" xr6:coauthVersionMax="36" xr10:uidLastSave="{00000000-0000-0000-0000-000000000000}"/>
  <bookViews>
    <workbookView xWindow="0" yWindow="1800" windowWidth="28215" windowHeight="13500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T74" i="29" s="1"/>
  <c r="I74" i="29"/>
  <c r="P74" i="29"/>
  <c r="O74" i="29"/>
  <c r="N74" i="29"/>
  <c r="M74" i="29"/>
  <c r="L74" i="29"/>
  <c r="H74" i="29"/>
  <c r="G74" i="29"/>
  <c r="F74" i="29"/>
  <c r="E74" i="29"/>
  <c r="D74" i="29"/>
  <c r="Q73" i="29"/>
  <c r="P73" i="29"/>
  <c r="R73" i="29"/>
  <c r="O73" i="29"/>
  <c r="N73" i="29"/>
  <c r="M73" i="29"/>
  <c r="L73" i="29"/>
  <c r="I73" i="29"/>
  <c r="H73" i="29"/>
  <c r="J73" i="29"/>
  <c r="G73" i="29"/>
  <c r="F73" i="29"/>
  <c r="E73" i="29"/>
  <c r="D73" i="29"/>
  <c r="Q72" i="29"/>
  <c r="T72" i="29" s="1"/>
  <c r="I72" i="29"/>
  <c r="P72" i="29"/>
  <c r="H72" i="29"/>
  <c r="R72" i="29"/>
  <c r="O72" i="29"/>
  <c r="N72" i="29"/>
  <c r="M72" i="29"/>
  <c r="L72" i="29"/>
  <c r="J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T69" i="29"/>
  <c r="P69" i="29"/>
  <c r="R69" i="29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T67" i="29" s="1"/>
  <c r="N21" i="30" s="1"/>
  <c r="I67" i="29"/>
  <c r="P67" i="29"/>
  <c r="R67" i="29" s="1"/>
  <c r="O67" i="29"/>
  <c r="N67" i="29"/>
  <c r="M67" i="29"/>
  <c r="L67" i="29"/>
  <c r="H67" i="29"/>
  <c r="J67" i="29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T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/>
  <c r="G64" i="29"/>
  <c r="F64" i="29"/>
  <c r="E64" i="29"/>
  <c r="D64" i="29"/>
  <c r="Q63" i="29"/>
  <c r="T63" i="29" s="1"/>
  <c r="N20" i="30" s="1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T60" i="29" s="1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T4" i="29" s="1"/>
  <c r="D5" i="29"/>
  <c r="E5" i="29"/>
  <c r="F5" i="29"/>
  <c r="G5" i="29"/>
  <c r="H5" i="29"/>
  <c r="J5" i="29"/>
  <c r="I5" i="29"/>
  <c r="I3" i="29"/>
  <c r="I6" i="29"/>
  <c r="I7" i="29"/>
  <c r="I8" i="29"/>
  <c r="I9" i="29"/>
  <c r="I81" i="29" s="1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S5" i="29" s="1"/>
  <c r="Q5" i="29"/>
  <c r="T5" i="29" s="1"/>
  <c r="D6" i="29"/>
  <c r="E6" i="29"/>
  <c r="F6" i="29"/>
  <c r="G6" i="29"/>
  <c r="H6" i="29"/>
  <c r="J6" i="29" s="1"/>
  <c r="L6" i="29"/>
  <c r="M6" i="29"/>
  <c r="N6" i="29"/>
  <c r="O6" i="29"/>
  <c r="P6" i="29"/>
  <c r="R6" i="29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T14" i="29" s="1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T16" i="29" s="1"/>
  <c r="D17" i="29"/>
  <c r="E17" i="29"/>
  <c r="F17" i="29"/>
  <c r="G17" i="29"/>
  <c r="H17" i="29"/>
  <c r="J17" i="29" s="1"/>
  <c r="L17" i="29"/>
  <c r="M17" i="29"/>
  <c r="N17" i="29"/>
  <c r="O17" i="29"/>
  <c r="P17" i="29"/>
  <c r="R17" i="29"/>
  <c r="Q17" i="29"/>
  <c r="T17" i="29" s="1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/>
  <c r="L21" i="29"/>
  <c r="M21" i="29"/>
  <c r="N21" i="29"/>
  <c r="O21" i="29"/>
  <c r="P21" i="29"/>
  <c r="S21" i="29" s="1"/>
  <c r="Q21" i="29"/>
  <c r="D22" i="29"/>
  <c r="E22" i="29"/>
  <c r="F22" i="29"/>
  <c r="G22" i="29"/>
  <c r="H22" i="29"/>
  <c r="J22" i="29"/>
  <c r="L22" i="29"/>
  <c r="M22" i="29"/>
  <c r="N22" i="29"/>
  <c r="O22" i="29"/>
  <c r="P22" i="29"/>
  <c r="Q22" i="29"/>
  <c r="D23" i="29"/>
  <c r="E23" i="29"/>
  <c r="F23" i="29"/>
  <c r="G23" i="29"/>
  <c r="H23" i="29"/>
  <c r="J23" i="29"/>
  <c r="L23" i="29"/>
  <c r="M23" i="29"/>
  <c r="N23" i="29"/>
  <c r="O23" i="29"/>
  <c r="P23" i="29"/>
  <c r="S23" i="29" s="1"/>
  <c r="M10" i="30" s="1"/>
  <c r="Q23" i="29"/>
  <c r="T23" i="29" s="1"/>
  <c r="N10" i="30" s="1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S29" i="29" s="1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T31" i="29" s="1"/>
  <c r="N12" i="30" s="1"/>
  <c r="D32" i="29"/>
  <c r="E32" i="29"/>
  <c r="F32" i="29"/>
  <c r="G32" i="29"/>
  <c r="H32" i="29"/>
  <c r="J32" i="29" s="1"/>
  <c r="Q32" i="29"/>
  <c r="T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T34" i="29" s="1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T36" i="29" s="1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/>
  <c r="Q38" i="29"/>
  <c r="T38" i="29" s="1"/>
  <c r="D39" i="29"/>
  <c r="E39" i="29"/>
  <c r="F39" i="29"/>
  <c r="G39" i="29"/>
  <c r="H39" i="29"/>
  <c r="J39" i="29" s="1"/>
  <c r="L39" i="29"/>
  <c r="M39" i="29"/>
  <c r="N39" i="29"/>
  <c r="O39" i="29"/>
  <c r="P39" i="29"/>
  <c r="S39" i="29" s="1"/>
  <c r="R39" i="29"/>
  <c r="Q39" i="29"/>
  <c r="D40" i="29"/>
  <c r="E40" i="29"/>
  <c r="F40" i="29"/>
  <c r="G40" i="29"/>
  <c r="H40" i="29"/>
  <c r="J40" i="29"/>
  <c r="L40" i="29"/>
  <c r="M40" i="29"/>
  <c r="N40" i="29"/>
  <c r="O40" i="29"/>
  <c r="P40" i="29"/>
  <c r="Q40" i="29"/>
  <c r="D41" i="29"/>
  <c r="E41" i="29"/>
  <c r="F41" i="29"/>
  <c r="G41" i="29"/>
  <c r="H41" i="29"/>
  <c r="J41" i="29"/>
  <c r="Q41" i="29"/>
  <c r="L41" i="29"/>
  <c r="M41" i="29"/>
  <c r="N41" i="29"/>
  <c r="O41" i="29"/>
  <c r="P41" i="29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/>
  <c r="Q49" i="29"/>
  <c r="D50" i="29"/>
  <c r="E50" i="29"/>
  <c r="F50" i="29"/>
  <c r="G50" i="29"/>
  <c r="H50" i="29"/>
  <c r="J50" i="29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T53" i="29" s="1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S54" i="29" s="1"/>
  <c r="Q54" i="29"/>
  <c r="D55" i="29"/>
  <c r="E55" i="29"/>
  <c r="F55" i="29"/>
  <c r="G55" i="29"/>
  <c r="H55" i="29"/>
  <c r="J55" i="29" s="1"/>
  <c r="I55" i="29"/>
  <c r="I78" i="29" s="1"/>
  <c r="L55" i="29"/>
  <c r="M55" i="29"/>
  <c r="N55" i="29"/>
  <c r="O55" i="29"/>
  <c r="P55" i="29"/>
  <c r="S55" i="29" s="1"/>
  <c r="M18" i="30" s="1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/>
  <c r="G73" i="25"/>
  <c r="F73" i="25"/>
  <c r="E73" i="25"/>
  <c r="D73" i="25"/>
  <c r="Q72" i="25"/>
  <c r="T72" i="25" s="1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/>
  <c r="G63" i="25"/>
  <c r="F63" i="25"/>
  <c r="E63" i="25"/>
  <c r="D63" i="25"/>
  <c r="Q62" i="25"/>
  <c r="I62" i="25"/>
  <c r="P62" i="25"/>
  <c r="R62" i="25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S59" i="25" s="1"/>
  <c r="O59" i="25"/>
  <c r="N59" i="25"/>
  <c r="M59" i="25"/>
  <c r="L59" i="25"/>
  <c r="H59" i="25"/>
  <c r="G59" i="25"/>
  <c r="F59" i="25"/>
  <c r="E59" i="25"/>
  <c r="D59" i="25"/>
  <c r="L4" i="25"/>
  <c r="M4" i="25"/>
  <c r="N4" i="25"/>
  <c r="O4" i="25"/>
  <c r="P4" i="25"/>
  <c r="Q4" i="25"/>
  <c r="I4" i="25"/>
  <c r="L5" i="25"/>
  <c r="M5" i="25"/>
  <c r="N5" i="25"/>
  <c r="O5" i="25"/>
  <c r="P5" i="25"/>
  <c r="Q5" i="25"/>
  <c r="L6" i="25"/>
  <c r="M6" i="25"/>
  <c r="N6" i="25"/>
  <c r="O6" i="25"/>
  <c r="P6" i="25"/>
  <c r="R6" i="25" s="1"/>
  <c r="Q6" i="25"/>
  <c r="L7" i="25"/>
  <c r="M7" i="25"/>
  <c r="N7" i="25"/>
  <c r="O7" i="25"/>
  <c r="P7" i="25"/>
  <c r="H7" i="25"/>
  <c r="J7" i="25" s="1"/>
  <c r="Q7" i="25"/>
  <c r="L8" i="25"/>
  <c r="M8" i="25"/>
  <c r="N8" i="25"/>
  <c r="O8" i="25"/>
  <c r="P8" i="25"/>
  <c r="S8" i="25" s="1"/>
  <c r="H8" i="25"/>
  <c r="Q8" i="25"/>
  <c r="L9" i="25"/>
  <c r="M9" i="25"/>
  <c r="N9" i="25"/>
  <c r="O9" i="25"/>
  <c r="P9" i="25"/>
  <c r="R9" i="25" s="1"/>
  <c r="Q9" i="25"/>
  <c r="I9" i="25"/>
  <c r="T9" i="25" s="1"/>
  <c r="L10" i="25"/>
  <c r="M10" i="25"/>
  <c r="N10" i="25"/>
  <c r="O10" i="25"/>
  <c r="P10" i="25"/>
  <c r="R10" i="25" s="1"/>
  <c r="Q10" i="25"/>
  <c r="I10" i="25"/>
  <c r="L11" i="25"/>
  <c r="M11" i="25"/>
  <c r="N11" i="25"/>
  <c r="O11" i="25"/>
  <c r="P11" i="25"/>
  <c r="R11" i="25" s="1"/>
  <c r="Q11" i="25"/>
  <c r="I11" i="25"/>
  <c r="L12" i="25"/>
  <c r="M12" i="25"/>
  <c r="N12" i="25"/>
  <c r="O12" i="25"/>
  <c r="P12" i="25"/>
  <c r="R12" i="25" s="1"/>
  <c r="Q12" i="25"/>
  <c r="L13" i="25"/>
  <c r="M13" i="25"/>
  <c r="N13" i="25"/>
  <c r="O13" i="25"/>
  <c r="P13" i="25"/>
  <c r="R13" i="25" s="1"/>
  <c r="Q13" i="25"/>
  <c r="I13" i="25"/>
  <c r="L14" i="25"/>
  <c r="M14" i="25"/>
  <c r="N14" i="25"/>
  <c r="O14" i="25"/>
  <c r="P14" i="25"/>
  <c r="R14" i="25" s="1"/>
  <c r="Q14" i="25"/>
  <c r="I14" i="25"/>
  <c r="L15" i="25"/>
  <c r="M15" i="25"/>
  <c r="N15" i="25"/>
  <c r="O15" i="25"/>
  <c r="P15" i="25"/>
  <c r="Q15" i="25"/>
  <c r="T15" i="25" s="1"/>
  <c r="I15" i="25"/>
  <c r="L16" i="25"/>
  <c r="M16" i="25"/>
  <c r="N16" i="25"/>
  <c r="O16" i="25"/>
  <c r="P16" i="25"/>
  <c r="R16" i="25" s="1"/>
  <c r="Q16" i="25"/>
  <c r="I16" i="25"/>
  <c r="L17" i="25"/>
  <c r="M17" i="25"/>
  <c r="N17" i="25"/>
  <c r="O17" i="25"/>
  <c r="P17" i="25"/>
  <c r="R17" i="25" s="1"/>
  <c r="Q17" i="25"/>
  <c r="I17" i="25"/>
  <c r="L18" i="25"/>
  <c r="M18" i="25"/>
  <c r="N18" i="25"/>
  <c r="O18" i="25"/>
  <c r="P18" i="25"/>
  <c r="Q18" i="25"/>
  <c r="L19" i="25"/>
  <c r="M19" i="25"/>
  <c r="N19" i="25"/>
  <c r="O19" i="25"/>
  <c r="P19" i="25"/>
  <c r="R19" i="25" s="1"/>
  <c r="H19" i="25"/>
  <c r="Q19" i="25"/>
  <c r="L20" i="25"/>
  <c r="M20" i="25"/>
  <c r="N20" i="25"/>
  <c r="O20" i="25"/>
  <c r="P20" i="25"/>
  <c r="R20" i="25" s="1"/>
  <c r="Q20" i="25"/>
  <c r="T20" i="25" s="1"/>
  <c r="I20" i="25"/>
  <c r="L21" i="25"/>
  <c r="M21" i="25"/>
  <c r="N21" i="25"/>
  <c r="O21" i="25"/>
  <c r="P21" i="25"/>
  <c r="H21" i="25"/>
  <c r="Q21" i="25"/>
  <c r="I21" i="25"/>
  <c r="L22" i="25"/>
  <c r="M22" i="25"/>
  <c r="N22" i="25"/>
  <c r="O22" i="25"/>
  <c r="P22" i="25"/>
  <c r="R22" i="25" s="1"/>
  <c r="Q22" i="25"/>
  <c r="I22" i="25"/>
  <c r="L23" i="25"/>
  <c r="M23" i="25"/>
  <c r="N23" i="25"/>
  <c r="O23" i="25"/>
  <c r="P23" i="25"/>
  <c r="R23" i="25" s="1"/>
  <c r="Q23" i="25"/>
  <c r="L24" i="25"/>
  <c r="M24" i="25"/>
  <c r="N24" i="25"/>
  <c r="O24" i="25"/>
  <c r="P24" i="25"/>
  <c r="H24" i="25"/>
  <c r="Q24" i="25"/>
  <c r="I24" i="25"/>
  <c r="L25" i="25"/>
  <c r="M25" i="25"/>
  <c r="N25" i="25"/>
  <c r="O25" i="25"/>
  <c r="P25" i="25"/>
  <c r="S25" i="25" s="1"/>
  <c r="H25" i="25"/>
  <c r="Q25" i="25"/>
  <c r="I25" i="25"/>
  <c r="L26" i="25"/>
  <c r="M26" i="25"/>
  <c r="N26" i="25"/>
  <c r="O26" i="25"/>
  <c r="P26" i="25"/>
  <c r="Q26" i="25"/>
  <c r="I26" i="25"/>
  <c r="L27" i="25"/>
  <c r="M27" i="25"/>
  <c r="N27" i="25"/>
  <c r="O27" i="25"/>
  <c r="P27" i="25"/>
  <c r="R27" i="25"/>
  <c r="Q27" i="25"/>
  <c r="L28" i="25"/>
  <c r="M28" i="25"/>
  <c r="N28" i="25"/>
  <c r="O28" i="25"/>
  <c r="P28" i="25"/>
  <c r="R28" i="25" s="1"/>
  <c r="Q28" i="25"/>
  <c r="I28" i="25"/>
  <c r="L29" i="25"/>
  <c r="M29" i="25"/>
  <c r="N29" i="25"/>
  <c r="O29" i="25"/>
  <c r="P29" i="25"/>
  <c r="R29" i="25" s="1"/>
  <c r="Q29" i="25"/>
  <c r="I29" i="25"/>
  <c r="L30" i="25"/>
  <c r="M30" i="25"/>
  <c r="N30" i="25"/>
  <c r="O30" i="25"/>
  <c r="P30" i="25"/>
  <c r="R30" i="25" s="1"/>
  <c r="Q30" i="25"/>
  <c r="I30" i="25"/>
  <c r="L31" i="25"/>
  <c r="M31" i="25"/>
  <c r="N31" i="25"/>
  <c r="O31" i="25"/>
  <c r="P31" i="25"/>
  <c r="Q31" i="25"/>
  <c r="I31" i="25"/>
  <c r="L32" i="25"/>
  <c r="M32" i="25"/>
  <c r="N32" i="25"/>
  <c r="O32" i="25"/>
  <c r="P32" i="25"/>
  <c r="Q32" i="25"/>
  <c r="L33" i="25"/>
  <c r="M33" i="25"/>
  <c r="N33" i="25"/>
  <c r="O33" i="25"/>
  <c r="P33" i="25"/>
  <c r="R33" i="25" s="1"/>
  <c r="Q33" i="25"/>
  <c r="I33" i="25"/>
  <c r="L34" i="25"/>
  <c r="M34" i="25"/>
  <c r="N34" i="25"/>
  <c r="O34" i="25"/>
  <c r="P34" i="25"/>
  <c r="R34" i="25" s="1"/>
  <c r="H34" i="25"/>
  <c r="J34" i="25" s="1"/>
  <c r="Q34" i="25"/>
  <c r="L35" i="25"/>
  <c r="M35" i="25"/>
  <c r="N35" i="25"/>
  <c r="O35" i="25"/>
  <c r="P35" i="25"/>
  <c r="R35" i="25" s="1"/>
  <c r="Q35" i="25"/>
  <c r="L36" i="25"/>
  <c r="M36" i="25"/>
  <c r="N36" i="25"/>
  <c r="O36" i="25"/>
  <c r="P36" i="25"/>
  <c r="R36" i="25" s="1"/>
  <c r="Q36" i="25"/>
  <c r="I36" i="25"/>
  <c r="L37" i="25"/>
  <c r="M37" i="25"/>
  <c r="N37" i="25"/>
  <c r="O37" i="25"/>
  <c r="P37" i="25"/>
  <c r="R37" i="25" s="1"/>
  <c r="Q37" i="25"/>
  <c r="I37" i="25"/>
  <c r="L38" i="25"/>
  <c r="M38" i="25"/>
  <c r="N38" i="25"/>
  <c r="O38" i="25"/>
  <c r="P38" i="25"/>
  <c r="R38" i="25" s="1"/>
  <c r="Q38" i="25"/>
  <c r="I38" i="25"/>
  <c r="L39" i="25"/>
  <c r="M39" i="25"/>
  <c r="N39" i="25"/>
  <c r="O39" i="25"/>
  <c r="P39" i="25"/>
  <c r="Q39" i="25"/>
  <c r="I39" i="25"/>
  <c r="L40" i="25"/>
  <c r="M40" i="25"/>
  <c r="N40" i="25"/>
  <c r="O40" i="25"/>
  <c r="P40" i="25"/>
  <c r="R40" i="25" s="1"/>
  <c r="Q40" i="25"/>
  <c r="L41" i="25"/>
  <c r="M41" i="25"/>
  <c r="N41" i="25"/>
  <c r="O41" i="25"/>
  <c r="P41" i="25"/>
  <c r="R41" i="25" s="1"/>
  <c r="Q41" i="25"/>
  <c r="T41" i="25" s="1"/>
  <c r="L42" i="25"/>
  <c r="M42" i="25"/>
  <c r="N42" i="25"/>
  <c r="O42" i="25"/>
  <c r="P42" i="25"/>
  <c r="H42" i="25"/>
  <c r="J42" i="25" s="1"/>
  <c r="Q42" i="25"/>
  <c r="I42" i="25"/>
  <c r="L43" i="25"/>
  <c r="M43" i="25"/>
  <c r="N43" i="25"/>
  <c r="O43" i="25"/>
  <c r="P43" i="25"/>
  <c r="R43" i="25" s="1"/>
  <c r="H43" i="25"/>
  <c r="J43" i="25" s="1"/>
  <c r="Q43" i="25"/>
  <c r="I43" i="25"/>
  <c r="L44" i="25"/>
  <c r="M44" i="25"/>
  <c r="N44" i="25"/>
  <c r="O44" i="25"/>
  <c r="P44" i="25"/>
  <c r="R44" i="25" s="1"/>
  <c r="Q44" i="25"/>
  <c r="T44" i="25" s="1"/>
  <c r="I44" i="25"/>
  <c r="L45" i="25"/>
  <c r="M45" i="25"/>
  <c r="N45" i="25"/>
  <c r="O45" i="25"/>
  <c r="P45" i="25"/>
  <c r="Q45" i="25"/>
  <c r="I45" i="25"/>
  <c r="L46" i="25"/>
  <c r="M46" i="25"/>
  <c r="N46" i="25"/>
  <c r="O46" i="25"/>
  <c r="P46" i="25"/>
  <c r="R46" i="25" s="1"/>
  <c r="Q46" i="25"/>
  <c r="L47" i="25"/>
  <c r="M47" i="25"/>
  <c r="N47" i="25"/>
  <c r="O47" i="25"/>
  <c r="P47" i="25"/>
  <c r="R47" i="25"/>
  <c r="Q47" i="25"/>
  <c r="I47" i="25"/>
  <c r="L48" i="25"/>
  <c r="M48" i="25"/>
  <c r="N48" i="25"/>
  <c r="O48" i="25"/>
  <c r="P48" i="25"/>
  <c r="R48" i="25" s="1"/>
  <c r="H48" i="25"/>
  <c r="Q48" i="25"/>
  <c r="I48" i="25"/>
  <c r="L49" i="25"/>
  <c r="M49" i="25"/>
  <c r="N49" i="25"/>
  <c r="O49" i="25"/>
  <c r="P49" i="25"/>
  <c r="R49" i="25" s="1"/>
  <c r="Q49" i="25"/>
  <c r="T49" i="25" s="1"/>
  <c r="I49" i="25"/>
  <c r="L50" i="25"/>
  <c r="M50" i="25"/>
  <c r="N50" i="25"/>
  <c r="O50" i="25"/>
  <c r="P50" i="25"/>
  <c r="R50" i="25"/>
  <c r="Q50" i="25"/>
  <c r="I50" i="25"/>
  <c r="L51" i="25"/>
  <c r="M51" i="25"/>
  <c r="N51" i="25"/>
  <c r="O51" i="25"/>
  <c r="P51" i="25"/>
  <c r="S51" i="25" s="1"/>
  <c r="M45" i="30" s="1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H57" i="25"/>
  <c r="Q57" i="25"/>
  <c r="L58" i="25"/>
  <c r="M58" i="25"/>
  <c r="N58" i="25"/>
  <c r="O58" i="25"/>
  <c r="P58" i="25"/>
  <c r="Q58" i="25"/>
  <c r="I58" i="25"/>
  <c r="I78" i="25" s="1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/>
  <c r="D19" i="25"/>
  <c r="E19" i="25"/>
  <c r="F19" i="25"/>
  <c r="G19" i="25"/>
  <c r="J19" i="25"/>
  <c r="D20" i="25"/>
  <c r="E20" i="25"/>
  <c r="F20" i="25"/>
  <c r="G20" i="25"/>
  <c r="H20" i="25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/>
  <c r="D57" i="25"/>
  <c r="E57" i="25"/>
  <c r="F57" i="25"/>
  <c r="G57" i="25"/>
  <c r="J57" i="25"/>
  <c r="D58" i="25"/>
  <c r="E58" i="25"/>
  <c r="F58" i="25"/>
  <c r="G58" i="25"/>
  <c r="H58" i="25"/>
  <c r="J58" i="25" s="1"/>
  <c r="Q3" i="25"/>
  <c r="P3" i="25"/>
  <c r="R3" i="25" s="1"/>
  <c r="O3" i="25"/>
  <c r="N3" i="25"/>
  <c r="M3" i="25"/>
  <c r="L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/>
  <c r="G67" i="20"/>
  <c r="F67" i="20"/>
  <c r="E67" i="20"/>
  <c r="D67" i="20"/>
  <c r="Q66" i="20"/>
  <c r="T66" i="20" s="1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S63" i="20" s="1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T61" i="20" s="1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/>
  <c r="G59" i="20"/>
  <c r="F59" i="20"/>
  <c r="E59" i="20"/>
  <c r="D59" i="20"/>
  <c r="M3" i="20"/>
  <c r="N3" i="20"/>
  <c r="O3" i="20"/>
  <c r="P3" i="20"/>
  <c r="H3" i="20"/>
  <c r="J3" i="20" s="1"/>
  <c r="Q3" i="20"/>
  <c r="M4" i="20"/>
  <c r="N4" i="20"/>
  <c r="O4" i="20"/>
  <c r="P4" i="20"/>
  <c r="Q4" i="20"/>
  <c r="M5" i="20"/>
  <c r="N5" i="20"/>
  <c r="O5" i="20"/>
  <c r="P5" i="20"/>
  <c r="Q5" i="20"/>
  <c r="I5" i="20"/>
  <c r="M6" i="20"/>
  <c r="N6" i="20"/>
  <c r="O6" i="20"/>
  <c r="P6" i="20"/>
  <c r="Q6" i="20"/>
  <c r="M7" i="20"/>
  <c r="N7" i="20"/>
  <c r="O7" i="20"/>
  <c r="P7" i="20"/>
  <c r="R7" i="20"/>
  <c r="Q7" i="20"/>
  <c r="M8" i="20"/>
  <c r="N8" i="20"/>
  <c r="O8" i="20"/>
  <c r="P8" i="20"/>
  <c r="Q8" i="20"/>
  <c r="I8" i="20"/>
  <c r="M9" i="20"/>
  <c r="N9" i="20"/>
  <c r="O9" i="20"/>
  <c r="P9" i="20"/>
  <c r="R9" i="20" s="1"/>
  <c r="Q9" i="20"/>
  <c r="M10" i="20"/>
  <c r="N10" i="20"/>
  <c r="O10" i="20"/>
  <c r="P10" i="20"/>
  <c r="R10" i="20" s="1"/>
  <c r="Q10" i="20"/>
  <c r="M11" i="20"/>
  <c r="N11" i="20"/>
  <c r="O11" i="20"/>
  <c r="P11" i="20"/>
  <c r="Q11" i="20"/>
  <c r="I11" i="20"/>
  <c r="M12" i="20"/>
  <c r="N12" i="20"/>
  <c r="O12" i="20"/>
  <c r="P12" i="20"/>
  <c r="Q12" i="20"/>
  <c r="M13" i="20"/>
  <c r="N13" i="20"/>
  <c r="O13" i="20"/>
  <c r="P13" i="20"/>
  <c r="R13" i="20" s="1"/>
  <c r="H13" i="20"/>
  <c r="Q13" i="20"/>
  <c r="I13" i="20"/>
  <c r="M14" i="20"/>
  <c r="N14" i="20"/>
  <c r="O14" i="20"/>
  <c r="P14" i="20"/>
  <c r="Q14" i="20"/>
  <c r="M15" i="20"/>
  <c r="N15" i="20"/>
  <c r="O15" i="20"/>
  <c r="P15" i="20"/>
  <c r="Q15" i="20"/>
  <c r="M16" i="20"/>
  <c r="N16" i="20"/>
  <c r="O16" i="20"/>
  <c r="P16" i="20"/>
  <c r="R16" i="20" s="1"/>
  <c r="H16" i="20"/>
  <c r="J16" i="20" s="1"/>
  <c r="Q16" i="20"/>
  <c r="M17" i="20"/>
  <c r="N17" i="20"/>
  <c r="O17" i="20"/>
  <c r="P17" i="20"/>
  <c r="R17" i="20" s="1"/>
  <c r="Q17" i="20"/>
  <c r="M18" i="20"/>
  <c r="N18" i="20"/>
  <c r="O18" i="20"/>
  <c r="P18" i="20"/>
  <c r="R18" i="20" s="1"/>
  <c r="Q18" i="20"/>
  <c r="M19" i="20"/>
  <c r="N19" i="20"/>
  <c r="O19" i="20"/>
  <c r="P19" i="20"/>
  <c r="H19" i="20"/>
  <c r="J19" i="20" s="1"/>
  <c r="Q19" i="20"/>
  <c r="I19" i="20"/>
  <c r="M20" i="20"/>
  <c r="N20" i="20"/>
  <c r="O20" i="20"/>
  <c r="P20" i="20"/>
  <c r="Q20" i="20"/>
  <c r="M21" i="20"/>
  <c r="N21" i="20"/>
  <c r="O21" i="20"/>
  <c r="P21" i="20"/>
  <c r="Q21" i="20"/>
  <c r="M22" i="20"/>
  <c r="N22" i="20"/>
  <c r="O22" i="20"/>
  <c r="P22" i="20"/>
  <c r="R22" i="20" s="1"/>
  <c r="Q22" i="20"/>
  <c r="I22" i="20"/>
  <c r="M23" i="20"/>
  <c r="N23" i="20"/>
  <c r="O23" i="20"/>
  <c r="P23" i="20"/>
  <c r="Q23" i="20"/>
  <c r="M24" i="20"/>
  <c r="N24" i="20"/>
  <c r="O24" i="20"/>
  <c r="P24" i="20"/>
  <c r="R24" i="20"/>
  <c r="Q24" i="20"/>
  <c r="M25" i="20"/>
  <c r="N25" i="20"/>
  <c r="O25" i="20"/>
  <c r="P25" i="20"/>
  <c r="Q25" i="20"/>
  <c r="I25" i="20"/>
  <c r="M26" i="20"/>
  <c r="N26" i="20"/>
  <c r="O26" i="20"/>
  <c r="P26" i="20"/>
  <c r="Q26" i="20"/>
  <c r="M27" i="20"/>
  <c r="N27" i="20"/>
  <c r="O27" i="20"/>
  <c r="P27" i="20"/>
  <c r="R27" i="20" s="1"/>
  <c r="H27" i="20"/>
  <c r="Q27" i="20"/>
  <c r="M28" i="20"/>
  <c r="N28" i="20"/>
  <c r="O28" i="20"/>
  <c r="P28" i="20"/>
  <c r="R28" i="20" s="1"/>
  <c r="Q28" i="20"/>
  <c r="I28" i="20"/>
  <c r="M29" i="20"/>
  <c r="N29" i="20"/>
  <c r="O29" i="20"/>
  <c r="P29" i="20"/>
  <c r="R29" i="20" s="1"/>
  <c r="Q29" i="20"/>
  <c r="T29" i="20" s="1"/>
  <c r="M30" i="20"/>
  <c r="N30" i="20"/>
  <c r="O30" i="20"/>
  <c r="P30" i="20"/>
  <c r="Q30" i="20"/>
  <c r="I30" i="20"/>
  <c r="M31" i="20"/>
  <c r="N31" i="20"/>
  <c r="O31" i="20"/>
  <c r="P31" i="20"/>
  <c r="Q31" i="20"/>
  <c r="I31" i="20"/>
  <c r="M32" i="20"/>
  <c r="N32" i="20"/>
  <c r="O32" i="20"/>
  <c r="P32" i="20"/>
  <c r="R32" i="20" s="1"/>
  <c r="Q32" i="20"/>
  <c r="M33" i="20"/>
  <c r="N33" i="20"/>
  <c r="O33" i="20"/>
  <c r="P33" i="20"/>
  <c r="Q33" i="20"/>
  <c r="I33" i="20"/>
  <c r="M34" i="20"/>
  <c r="N34" i="20"/>
  <c r="O34" i="20"/>
  <c r="P34" i="20"/>
  <c r="R34" i="20" s="1"/>
  <c r="Q34" i="20"/>
  <c r="M35" i="20"/>
  <c r="N35" i="20"/>
  <c r="O35" i="20"/>
  <c r="P35" i="20"/>
  <c r="R35" i="20" s="1"/>
  <c r="Q35" i="20"/>
  <c r="M36" i="20"/>
  <c r="N36" i="20"/>
  <c r="O36" i="20"/>
  <c r="P36" i="20"/>
  <c r="Q36" i="20"/>
  <c r="M37" i="20"/>
  <c r="N37" i="20"/>
  <c r="O37" i="20"/>
  <c r="P37" i="20"/>
  <c r="R37" i="20" s="1"/>
  <c r="Q37" i="20"/>
  <c r="M38" i="20"/>
  <c r="N38" i="20"/>
  <c r="O38" i="20"/>
  <c r="P38" i="20"/>
  <c r="R38" i="20" s="1"/>
  <c r="Q38" i="20"/>
  <c r="I38" i="20"/>
  <c r="M39" i="20"/>
  <c r="N39" i="20"/>
  <c r="O39" i="20"/>
  <c r="P39" i="20"/>
  <c r="R39" i="20" s="1"/>
  <c r="Q39" i="20"/>
  <c r="M40" i="20"/>
  <c r="N40" i="20"/>
  <c r="O40" i="20"/>
  <c r="P40" i="20"/>
  <c r="Q40" i="20"/>
  <c r="M41" i="20"/>
  <c r="N41" i="20"/>
  <c r="O41" i="20"/>
  <c r="P41" i="20"/>
  <c r="Q41" i="20"/>
  <c r="I41" i="20"/>
  <c r="M42" i="20"/>
  <c r="N42" i="20"/>
  <c r="O42" i="20"/>
  <c r="P42" i="20"/>
  <c r="R42" i="20" s="1"/>
  <c r="Q42" i="20"/>
  <c r="M43" i="20"/>
  <c r="N43" i="20"/>
  <c r="O43" i="20"/>
  <c r="P43" i="20"/>
  <c r="Q43" i="20"/>
  <c r="M44" i="20"/>
  <c r="N44" i="20"/>
  <c r="O44" i="20"/>
  <c r="P44" i="20"/>
  <c r="Q44" i="20"/>
  <c r="I44" i="20"/>
  <c r="M45" i="20"/>
  <c r="N45" i="20"/>
  <c r="O45" i="20"/>
  <c r="P45" i="20"/>
  <c r="R45" i="20" s="1"/>
  <c r="Q45" i="20"/>
  <c r="I45" i="20"/>
  <c r="M46" i="20"/>
  <c r="N46" i="20"/>
  <c r="O46" i="20"/>
  <c r="P46" i="20"/>
  <c r="R46" i="20" s="1"/>
  <c r="H46" i="20"/>
  <c r="J46" i="20" s="1"/>
  <c r="Q46" i="20"/>
  <c r="M47" i="20"/>
  <c r="N47" i="20"/>
  <c r="O47" i="20"/>
  <c r="P47" i="20"/>
  <c r="R47" i="20" s="1"/>
  <c r="Q47" i="20"/>
  <c r="I47" i="20"/>
  <c r="M48" i="20"/>
  <c r="N48" i="20"/>
  <c r="O48" i="20"/>
  <c r="P48" i="20"/>
  <c r="H48" i="20"/>
  <c r="J48" i="20" s="1"/>
  <c r="Q48" i="20"/>
  <c r="M49" i="20"/>
  <c r="N49" i="20"/>
  <c r="O49" i="20"/>
  <c r="P49" i="20"/>
  <c r="R49" i="20" s="1"/>
  <c r="Q49" i="20"/>
  <c r="I49" i="20"/>
  <c r="M50" i="20"/>
  <c r="N50" i="20"/>
  <c r="O50" i="20"/>
  <c r="P50" i="20"/>
  <c r="Q50" i="20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Q52" i="20"/>
  <c r="T52" i="20" s="1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T54" i="20" s="1"/>
  <c r="M55" i="20"/>
  <c r="N55" i="20"/>
  <c r="O55" i="20"/>
  <c r="P55" i="20"/>
  <c r="R55" i="20" s="1"/>
  <c r="Q55" i="20"/>
  <c r="I55" i="20"/>
  <c r="M56" i="20"/>
  <c r="N56" i="20"/>
  <c r="O56" i="20"/>
  <c r="P56" i="20"/>
  <c r="R56" i="20"/>
  <c r="Q56" i="20"/>
  <c r="M57" i="20"/>
  <c r="N57" i="20"/>
  <c r="O57" i="20"/>
  <c r="P57" i="20"/>
  <c r="S57" i="20" s="1"/>
  <c r="R57" i="20"/>
  <c r="Q57" i="20"/>
  <c r="T57" i="20" s="1"/>
  <c r="M58" i="20"/>
  <c r="N58" i="20"/>
  <c r="O58" i="20"/>
  <c r="P58" i="20"/>
  <c r="Q58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3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T39" i="20" s="1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/>
  <c r="H26" i="20"/>
  <c r="J26" i="20" s="1"/>
  <c r="J27" i="20"/>
  <c r="H28" i="20"/>
  <c r="J28" i="20" s="1"/>
  <c r="H29" i="20"/>
  <c r="J29" i="20" s="1"/>
  <c r="H30" i="20"/>
  <c r="J30" i="20" s="1"/>
  <c r="H31" i="20"/>
  <c r="J31" i="20" s="1"/>
  <c r="H32" i="20"/>
  <c r="J32" i="20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 s="1"/>
  <c r="I51" i="20"/>
  <c r="I78" i="20" s="1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/>
  <c r="E57" i="20"/>
  <c r="F57" i="20"/>
  <c r="G57" i="20"/>
  <c r="H57" i="20"/>
  <c r="E58" i="20"/>
  <c r="F58" i="20"/>
  <c r="G58" i="20"/>
  <c r="H58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T73" i="27" s="1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O64" i="27"/>
  <c r="N64" i="27"/>
  <c r="M64" i="27"/>
  <c r="L64" i="27"/>
  <c r="I64" i="27"/>
  <c r="J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/>
  <c r="O62" i="27"/>
  <c r="N62" i="27"/>
  <c r="M62" i="27"/>
  <c r="L62" i="27"/>
  <c r="H62" i="27"/>
  <c r="J62" i="27" s="1"/>
  <c r="G62" i="27"/>
  <c r="F62" i="27"/>
  <c r="E62" i="27"/>
  <c r="D62" i="27"/>
  <c r="Q61" i="27"/>
  <c r="T61" i="27" s="1"/>
  <c r="P61" i="27"/>
  <c r="R61" i="27" s="1"/>
  <c r="O61" i="27"/>
  <c r="N61" i="27"/>
  <c r="M61" i="27"/>
  <c r="L61" i="27"/>
  <c r="I61" i="27"/>
  <c r="H61" i="27"/>
  <c r="J61" i="27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J74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Q3" i="27"/>
  <c r="I3" i="27"/>
  <c r="P3" i="27"/>
  <c r="H3" i="27"/>
  <c r="J3" i="27" s="1"/>
  <c r="O3" i="27"/>
  <c r="O4" i="27"/>
  <c r="O5" i="27"/>
  <c r="O6" i="27"/>
  <c r="N3" i="27"/>
  <c r="N4" i="27"/>
  <c r="N5" i="27"/>
  <c r="N6" i="27"/>
  <c r="M3" i="27"/>
  <c r="M4" i="27"/>
  <c r="M5" i="27"/>
  <c r="M6" i="27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Q47" i="27"/>
  <c r="I47" i="27"/>
  <c r="P47" i="27"/>
  <c r="R47" i="27" s="1"/>
  <c r="O47" i="27"/>
  <c r="O48" i="27"/>
  <c r="O49" i="27"/>
  <c r="O50" i="27"/>
  <c r="N47" i="27"/>
  <c r="N48" i="27"/>
  <c r="N49" i="27"/>
  <c r="N50" i="27"/>
  <c r="M47" i="27"/>
  <c r="M48" i="27"/>
  <c r="M49" i="27"/>
  <c r="M50" i="27"/>
  <c r="Q43" i="27"/>
  <c r="I43" i="27"/>
  <c r="P43" i="27"/>
  <c r="O43" i="27"/>
  <c r="O44" i="27"/>
  <c r="O45" i="27"/>
  <c r="O46" i="27"/>
  <c r="N43" i="27"/>
  <c r="N44" i="27"/>
  <c r="N45" i="27"/>
  <c r="N46" i="27"/>
  <c r="M43" i="27"/>
  <c r="M44" i="27"/>
  <c r="M45" i="27"/>
  <c r="M46" i="27"/>
  <c r="Q39" i="27"/>
  <c r="I39" i="27"/>
  <c r="P39" i="27"/>
  <c r="O39" i="27"/>
  <c r="O40" i="27"/>
  <c r="O41" i="27"/>
  <c r="O42" i="27"/>
  <c r="N39" i="27"/>
  <c r="N40" i="27"/>
  <c r="N41" i="27"/>
  <c r="N42" i="27"/>
  <c r="M39" i="27"/>
  <c r="M40" i="27"/>
  <c r="M41" i="27"/>
  <c r="M42" i="27"/>
  <c r="Q35" i="27"/>
  <c r="I35" i="27"/>
  <c r="P35" i="27"/>
  <c r="R35" i="27" s="1"/>
  <c r="O35" i="27"/>
  <c r="O36" i="27"/>
  <c r="O37" i="27"/>
  <c r="O38" i="27"/>
  <c r="N35" i="27"/>
  <c r="N36" i="27"/>
  <c r="N37" i="27"/>
  <c r="N38" i="27"/>
  <c r="M35" i="27"/>
  <c r="M36" i="27"/>
  <c r="M37" i="27"/>
  <c r="M38" i="27"/>
  <c r="Q31" i="27"/>
  <c r="P31" i="27"/>
  <c r="O31" i="27"/>
  <c r="O32" i="27"/>
  <c r="O33" i="27"/>
  <c r="O34" i="27"/>
  <c r="N31" i="27"/>
  <c r="N32" i="27"/>
  <c r="N33" i="27"/>
  <c r="N34" i="27"/>
  <c r="M31" i="27"/>
  <c r="M32" i="27"/>
  <c r="M33" i="27"/>
  <c r="M34" i="27"/>
  <c r="Q27" i="27"/>
  <c r="T27" i="27" s="1"/>
  <c r="I27" i="27"/>
  <c r="P27" i="27"/>
  <c r="R27" i="27" s="1"/>
  <c r="O27" i="27"/>
  <c r="O28" i="27"/>
  <c r="O29" i="27"/>
  <c r="O30" i="27"/>
  <c r="N27" i="27"/>
  <c r="N28" i="27"/>
  <c r="N29" i="27"/>
  <c r="N30" i="27"/>
  <c r="M27" i="27"/>
  <c r="M28" i="27"/>
  <c r="M29" i="27"/>
  <c r="M30" i="27"/>
  <c r="Q23" i="27"/>
  <c r="T23" i="27" s="1"/>
  <c r="I23" i="27"/>
  <c r="P23" i="27"/>
  <c r="O23" i="27"/>
  <c r="O24" i="27"/>
  <c r="O25" i="27"/>
  <c r="O26" i="27"/>
  <c r="N23" i="27"/>
  <c r="N24" i="27"/>
  <c r="N25" i="27"/>
  <c r="N26" i="27"/>
  <c r="M23" i="27"/>
  <c r="M24" i="27"/>
  <c r="M25" i="27"/>
  <c r="M26" i="27"/>
  <c r="Q19" i="27"/>
  <c r="P19" i="27"/>
  <c r="H19" i="27"/>
  <c r="J19" i="27" s="1"/>
  <c r="O19" i="27"/>
  <c r="O20" i="27"/>
  <c r="O21" i="27"/>
  <c r="O22" i="27"/>
  <c r="N19" i="27"/>
  <c r="N20" i="27"/>
  <c r="N21" i="27"/>
  <c r="N22" i="27"/>
  <c r="M19" i="27"/>
  <c r="M20" i="27"/>
  <c r="M21" i="27"/>
  <c r="M22" i="27"/>
  <c r="Q15" i="27"/>
  <c r="P15" i="27"/>
  <c r="R15" i="27" s="1"/>
  <c r="O15" i="27"/>
  <c r="O16" i="27"/>
  <c r="O17" i="27"/>
  <c r="O18" i="27"/>
  <c r="N15" i="27"/>
  <c r="N16" i="27"/>
  <c r="N17" i="27"/>
  <c r="N18" i="27"/>
  <c r="M15" i="27"/>
  <c r="M16" i="27"/>
  <c r="M17" i="27"/>
  <c r="M18" i="27"/>
  <c r="Q11" i="27"/>
  <c r="P11" i="27"/>
  <c r="H11" i="27"/>
  <c r="O11" i="27"/>
  <c r="O12" i="27"/>
  <c r="O13" i="27"/>
  <c r="O14" i="27"/>
  <c r="N11" i="27"/>
  <c r="N12" i="27"/>
  <c r="N13" i="27"/>
  <c r="N14" i="27"/>
  <c r="M11" i="27"/>
  <c r="M12" i="27"/>
  <c r="M13" i="27"/>
  <c r="M14" i="27"/>
  <c r="Q7" i="27"/>
  <c r="I7" i="27"/>
  <c r="P7" i="27"/>
  <c r="R7" i="27"/>
  <c r="O7" i="27"/>
  <c r="O8" i="27"/>
  <c r="O9" i="27"/>
  <c r="O10" i="27"/>
  <c r="N7" i="27"/>
  <c r="N8" i="27"/>
  <c r="N9" i="27"/>
  <c r="N10" i="27"/>
  <c r="M7" i="27"/>
  <c r="M8" i="27"/>
  <c r="M9" i="27"/>
  <c r="M10" i="27"/>
  <c r="C3" i="30"/>
  <c r="J3" i="30"/>
  <c r="J31" i="30"/>
  <c r="C31" i="30"/>
  <c r="J47" i="25"/>
  <c r="J52" i="25"/>
  <c r="J9" i="20"/>
  <c r="J18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/>
  <c r="I57" i="27"/>
  <c r="H57" i="27"/>
  <c r="J57" i="27" s="1"/>
  <c r="L57" i="27"/>
  <c r="G57" i="27"/>
  <c r="F57" i="27"/>
  <c r="E57" i="27"/>
  <c r="D57" i="27"/>
  <c r="Q56" i="27"/>
  <c r="T56" i="27" s="1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/>
  <c r="H51" i="27"/>
  <c r="J51" i="27" s="1"/>
  <c r="L52" i="27"/>
  <c r="G52" i="27"/>
  <c r="F52" i="27"/>
  <c r="E52" i="27"/>
  <c r="D52" i="27"/>
  <c r="L51" i="27"/>
  <c r="D51" i="27"/>
  <c r="G51" i="27"/>
  <c r="F51" i="27"/>
  <c r="E51" i="27"/>
  <c r="I51" i="27"/>
  <c r="Q50" i="27"/>
  <c r="I50" i="27"/>
  <c r="P50" i="27"/>
  <c r="R50" i="27" s="1"/>
  <c r="H50" i="27"/>
  <c r="J50" i="27" s="1"/>
  <c r="L50" i="27"/>
  <c r="G50" i="27"/>
  <c r="F50" i="27"/>
  <c r="E50" i="27"/>
  <c r="D50" i="27"/>
  <c r="Q49" i="27"/>
  <c r="I49" i="27"/>
  <c r="P49" i="27"/>
  <c r="R49" i="27"/>
  <c r="H49" i="27"/>
  <c r="J49" i="27" s="1"/>
  <c r="L49" i="27"/>
  <c r="G49" i="27"/>
  <c r="F49" i="27"/>
  <c r="E49" i="27"/>
  <c r="D49" i="27"/>
  <c r="Q48" i="27"/>
  <c r="P48" i="27"/>
  <c r="S48" i="27" s="1"/>
  <c r="I48" i="27"/>
  <c r="H48" i="27"/>
  <c r="L48" i="27"/>
  <c r="G48" i="27"/>
  <c r="F48" i="27"/>
  <c r="E48" i="27"/>
  <c r="D48" i="27"/>
  <c r="L47" i="27"/>
  <c r="D47" i="27"/>
  <c r="G47" i="27"/>
  <c r="F47" i="27"/>
  <c r="E47" i="27"/>
  <c r="H47" i="27"/>
  <c r="J47" i="27" s="1"/>
  <c r="Q46" i="27"/>
  <c r="I46" i="27"/>
  <c r="P46" i="27"/>
  <c r="H46" i="27"/>
  <c r="J46" i="27" s="1"/>
  <c r="L46" i="27"/>
  <c r="G46" i="27"/>
  <c r="F46" i="27"/>
  <c r="E46" i="27"/>
  <c r="D46" i="27"/>
  <c r="Q45" i="27"/>
  <c r="I45" i="27"/>
  <c r="P45" i="27"/>
  <c r="R45" i="27"/>
  <c r="H45" i="27"/>
  <c r="J45" i="27" s="1"/>
  <c r="L45" i="27"/>
  <c r="G45" i="27"/>
  <c r="F45" i="27"/>
  <c r="E45" i="27"/>
  <c r="D45" i="27"/>
  <c r="Q44" i="27"/>
  <c r="I44" i="27"/>
  <c r="P44" i="27"/>
  <c r="H44" i="27"/>
  <c r="J44" i="27" s="1"/>
  <c r="L44" i="27"/>
  <c r="G44" i="27"/>
  <c r="F44" i="27"/>
  <c r="E44" i="27"/>
  <c r="D44" i="27"/>
  <c r="L43" i="27"/>
  <c r="D43" i="27"/>
  <c r="G43" i="27"/>
  <c r="F43" i="27"/>
  <c r="E43" i="27"/>
  <c r="H43" i="27"/>
  <c r="J43" i="27" s="1"/>
  <c r="Q42" i="27"/>
  <c r="P42" i="27"/>
  <c r="R42" i="27" s="1"/>
  <c r="I42" i="27"/>
  <c r="H42" i="27"/>
  <c r="J42" i="27"/>
  <c r="L42" i="27"/>
  <c r="G42" i="27"/>
  <c r="F42" i="27"/>
  <c r="E42" i="27"/>
  <c r="D42" i="27"/>
  <c r="Q41" i="27"/>
  <c r="T41" i="27" s="1"/>
  <c r="I41" i="27"/>
  <c r="P41" i="27"/>
  <c r="H41" i="27"/>
  <c r="J41" i="27"/>
  <c r="L41" i="27"/>
  <c r="G41" i="27"/>
  <c r="F41" i="27"/>
  <c r="E41" i="27"/>
  <c r="D41" i="27"/>
  <c r="Q40" i="27"/>
  <c r="T40" i="27" s="1"/>
  <c r="I40" i="27"/>
  <c r="P40" i="27"/>
  <c r="H40" i="27"/>
  <c r="J40" i="27" s="1"/>
  <c r="L40" i="27"/>
  <c r="G40" i="27"/>
  <c r="F40" i="27"/>
  <c r="E40" i="27"/>
  <c r="D40" i="27"/>
  <c r="L39" i="27"/>
  <c r="D39" i="27"/>
  <c r="G39" i="27"/>
  <c r="F39" i="27"/>
  <c r="E39" i="27"/>
  <c r="H39" i="27"/>
  <c r="J39" i="27" s="1"/>
  <c r="Q38" i="27"/>
  <c r="T38" i="27" s="1"/>
  <c r="P38" i="27"/>
  <c r="R38" i="27" s="1"/>
  <c r="I38" i="27"/>
  <c r="H38" i="27"/>
  <c r="J38" i="27" s="1"/>
  <c r="L38" i="27"/>
  <c r="G38" i="27"/>
  <c r="F38" i="27"/>
  <c r="E38" i="27"/>
  <c r="D38" i="27"/>
  <c r="Q37" i="27"/>
  <c r="I37" i="27"/>
  <c r="P37" i="27"/>
  <c r="H37" i="27"/>
  <c r="J37" i="27" s="1"/>
  <c r="L37" i="27"/>
  <c r="G37" i="27"/>
  <c r="F37" i="27"/>
  <c r="E37" i="27"/>
  <c r="D37" i="27"/>
  <c r="Q36" i="27"/>
  <c r="T36" i="27" s="1"/>
  <c r="P36" i="27"/>
  <c r="H36" i="27"/>
  <c r="I36" i="27"/>
  <c r="J36" i="27"/>
  <c r="L36" i="27"/>
  <c r="G36" i="27"/>
  <c r="F36" i="27"/>
  <c r="E36" i="27"/>
  <c r="D36" i="27"/>
  <c r="L35" i="27"/>
  <c r="D35" i="27"/>
  <c r="G35" i="27"/>
  <c r="F35" i="27"/>
  <c r="E35" i="27"/>
  <c r="H35" i="27"/>
  <c r="J35" i="27" s="1"/>
  <c r="Q34" i="27"/>
  <c r="I34" i="27"/>
  <c r="P34" i="27"/>
  <c r="H34" i="27"/>
  <c r="J34" i="27"/>
  <c r="L34" i="27"/>
  <c r="G34" i="27"/>
  <c r="F34" i="27"/>
  <c r="E34" i="27"/>
  <c r="D34" i="27"/>
  <c r="Q33" i="27"/>
  <c r="I33" i="27"/>
  <c r="P33" i="27"/>
  <c r="H33" i="27"/>
  <c r="L33" i="27"/>
  <c r="G33" i="27"/>
  <c r="F33" i="27"/>
  <c r="E33" i="27"/>
  <c r="D33" i="27"/>
  <c r="Q32" i="27"/>
  <c r="I32" i="27"/>
  <c r="P32" i="27"/>
  <c r="H32" i="27"/>
  <c r="J32" i="27" s="1"/>
  <c r="L32" i="27"/>
  <c r="G32" i="27"/>
  <c r="F32" i="27"/>
  <c r="E32" i="27"/>
  <c r="D32" i="27"/>
  <c r="L31" i="27"/>
  <c r="D31" i="27"/>
  <c r="G31" i="27"/>
  <c r="F31" i="27"/>
  <c r="E31" i="27"/>
  <c r="I31" i="27"/>
  <c r="T31" i="27" s="1"/>
  <c r="H31" i="27"/>
  <c r="J31" i="27" s="1"/>
  <c r="Q30" i="27"/>
  <c r="I30" i="27"/>
  <c r="P30" i="27"/>
  <c r="R30" i="27" s="1"/>
  <c r="H30" i="27"/>
  <c r="J30" i="27" s="1"/>
  <c r="L30" i="27"/>
  <c r="G30" i="27"/>
  <c r="F30" i="27"/>
  <c r="E30" i="27"/>
  <c r="D30" i="27"/>
  <c r="Q29" i="27"/>
  <c r="I29" i="27"/>
  <c r="P29" i="27"/>
  <c r="R29" i="27" s="1"/>
  <c r="H29" i="27"/>
  <c r="L29" i="27"/>
  <c r="G29" i="27"/>
  <c r="F29" i="27"/>
  <c r="E29" i="27"/>
  <c r="D29" i="27"/>
  <c r="Q28" i="27"/>
  <c r="P28" i="27"/>
  <c r="I28" i="27"/>
  <c r="H28" i="27"/>
  <c r="J28" i="27" s="1"/>
  <c r="L28" i="27"/>
  <c r="G28" i="27"/>
  <c r="F28" i="27"/>
  <c r="E28" i="27"/>
  <c r="D28" i="27"/>
  <c r="L27" i="27"/>
  <c r="D27" i="27"/>
  <c r="G27" i="27"/>
  <c r="F27" i="27"/>
  <c r="E27" i="27"/>
  <c r="H27" i="27"/>
  <c r="J27" i="27" s="1"/>
  <c r="Q26" i="27"/>
  <c r="P26" i="27"/>
  <c r="H26" i="27"/>
  <c r="J26" i="27" s="1"/>
  <c r="I26" i="27"/>
  <c r="L26" i="27"/>
  <c r="G26" i="27"/>
  <c r="F26" i="27"/>
  <c r="E26" i="27"/>
  <c r="D26" i="27"/>
  <c r="Q25" i="27"/>
  <c r="T25" i="27" s="1"/>
  <c r="I25" i="27"/>
  <c r="P25" i="27"/>
  <c r="R25" i="27" s="1"/>
  <c r="H25" i="27"/>
  <c r="J25" i="27" s="1"/>
  <c r="L25" i="27"/>
  <c r="G25" i="27"/>
  <c r="F25" i="27"/>
  <c r="E25" i="27"/>
  <c r="D25" i="27"/>
  <c r="Q24" i="27"/>
  <c r="I24" i="27"/>
  <c r="P24" i="27"/>
  <c r="H24" i="27"/>
  <c r="J24" i="27" s="1"/>
  <c r="L24" i="27"/>
  <c r="G24" i="27"/>
  <c r="F24" i="27"/>
  <c r="E24" i="27"/>
  <c r="D24" i="27"/>
  <c r="L23" i="27"/>
  <c r="D23" i="27"/>
  <c r="G23" i="27"/>
  <c r="F23" i="27"/>
  <c r="E23" i="27"/>
  <c r="H23" i="27"/>
  <c r="J23" i="27" s="1"/>
  <c r="Q22" i="27"/>
  <c r="P22" i="27"/>
  <c r="R22" i="27" s="1"/>
  <c r="I22" i="27"/>
  <c r="I19" i="27"/>
  <c r="I20" i="27"/>
  <c r="I21" i="27"/>
  <c r="H22" i="27"/>
  <c r="J22" i="27" s="1"/>
  <c r="L22" i="27"/>
  <c r="G22" i="27"/>
  <c r="F22" i="27"/>
  <c r="E22" i="27"/>
  <c r="D22" i="27"/>
  <c r="Q21" i="27"/>
  <c r="P21" i="27"/>
  <c r="H21" i="27"/>
  <c r="J21" i="27" s="1"/>
  <c r="L21" i="27"/>
  <c r="G21" i="27"/>
  <c r="F21" i="27"/>
  <c r="E21" i="27"/>
  <c r="D21" i="27"/>
  <c r="Q20" i="27"/>
  <c r="P20" i="27"/>
  <c r="R20" i="27"/>
  <c r="H20" i="27"/>
  <c r="J20" i="27" s="1"/>
  <c r="L20" i="27"/>
  <c r="G20" i="27"/>
  <c r="F20" i="27"/>
  <c r="E20" i="27"/>
  <c r="D20" i="27"/>
  <c r="L19" i="27"/>
  <c r="D19" i="27"/>
  <c r="G19" i="27"/>
  <c r="F19" i="27"/>
  <c r="E19" i="27"/>
  <c r="Q18" i="27"/>
  <c r="I18" i="27"/>
  <c r="P18" i="27"/>
  <c r="H18" i="27"/>
  <c r="J18" i="27" s="1"/>
  <c r="L18" i="27"/>
  <c r="G18" i="27"/>
  <c r="F18" i="27"/>
  <c r="E18" i="27"/>
  <c r="D18" i="27"/>
  <c r="Q17" i="27"/>
  <c r="T17" i="27" s="1"/>
  <c r="I17" i="27"/>
  <c r="P17" i="27"/>
  <c r="H17" i="27"/>
  <c r="J17" i="27" s="1"/>
  <c r="L17" i="27"/>
  <c r="G17" i="27"/>
  <c r="F17" i="27"/>
  <c r="E17" i="27"/>
  <c r="D17" i="27"/>
  <c r="Q16" i="27"/>
  <c r="I16" i="27"/>
  <c r="P16" i="27"/>
  <c r="H16" i="27"/>
  <c r="J16" i="27" s="1"/>
  <c r="L16" i="27"/>
  <c r="G16" i="27"/>
  <c r="F16" i="27"/>
  <c r="E16" i="27"/>
  <c r="D16" i="27"/>
  <c r="L15" i="27"/>
  <c r="D15" i="27"/>
  <c r="G15" i="27"/>
  <c r="F15" i="27"/>
  <c r="E15" i="27"/>
  <c r="I15" i="27"/>
  <c r="H15" i="27"/>
  <c r="J15" i="27" s="1"/>
  <c r="D3" i="27"/>
  <c r="E3" i="27"/>
  <c r="F3" i="27"/>
  <c r="G3" i="27"/>
  <c r="L3" i="27"/>
  <c r="L6" i="27"/>
  <c r="L5" i="27"/>
  <c r="L4" i="27"/>
  <c r="L10" i="27"/>
  <c r="L9" i="27"/>
  <c r="L8" i="27"/>
  <c r="L7" i="27"/>
  <c r="L14" i="27"/>
  <c r="L13" i="27"/>
  <c r="L12" i="27"/>
  <c r="L11" i="27"/>
  <c r="Q4" i="27"/>
  <c r="Q5" i="27"/>
  <c r="Q6" i="27"/>
  <c r="Q8" i="27"/>
  <c r="Q9" i="27"/>
  <c r="Q10" i="27"/>
  <c r="I10" i="27"/>
  <c r="Q12" i="27"/>
  <c r="Q13" i="27"/>
  <c r="I13" i="27"/>
  <c r="Q14" i="27"/>
  <c r="P4" i="27"/>
  <c r="H4" i="27"/>
  <c r="P5" i="27"/>
  <c r="R5" i="27"/>
  <c r="P6" i="27"/>
  <c r="R6" i="27" s="1"/>
  <c r="P8" i="27"/>
  <c r="R8" i="27" s="1"/>
  <c r="P9" i="27"/>
  <c r="R9" i="27" s="1"/>
  <c r="P10" i="27"/>
  <c r="R10" i="27" s="1"/>
  <c r="P12" i="27"/>
  <c r="P13" i="27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J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J11" i="27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4" i="25"/>
  <c r="J33" i="27"/>
  <c r="J20" i="25"/>
  <c r="J12" i="25"/>
  <c r="J24" i="25"/>
  <c r="J8" i="25"/>
  <c r="J36" i="25"/>
  <c r="J50" i="20"/>
  <c r="J45" i="20"/>
  <c r="J48" i="25"/>
  <c r="T73" i="29"/>
  <c r="J3" i="29"/>
  <c r="J25" i="25"/>
  <c r="J63" i="20"/>
  <c r="J37" i="25"/>
  <c r="J21" i="25"/>
  <c r="S44" i="25"/>
  <c r="J30" i="25"/>
  <c r="J13" i="20"/>
  <c r="J59" i="25"/>
  <c r="J29" i="27"/>
  <c r="S62" i="29"/>
  <c r="S47" i="25"/>
  <c r="J58" i="20"/>
  <c r="J55" i="20"/>
  <c r="J42" i="20"/>
  <c r="J3" i="25"/>
  <c r="J47" i="20"/>
  <c r="R19" i="20"/>
  <c r="S27" i="25"/>
  <c r="S30" i="27"/>
  <c r="R26" i="25"/>
  <c r="S53" i="25"/>
  <c r="R57" i="25"/>
  <c r="I79" i="29"/>
  <c r="T54" i="29"/>
  <c r="S9" i="29"/>
  <c r="T57" i="29"/>
  <c r="J48" i="29"/>
  <c r="R56" i="25"/>
  <c r="T57" i="25"/>
  <c r="S31" i="29"/>
  <c r="M12" i="30" s="1"/>
  <c r="S50" i="29"/>
  <c r="J31" i="29"/>
  <c r="J42" i="29"/>
  <c r="J22" i="25"/>
  <c r="J33" i="25"/>
  <c r="T59" i="29"/>
  <c r="T79" i="29" s="1"/>
  <c r="N28" i="30" s="1"/>
  <c r="J48" i="27"/>
  <c r="J10" i="25"/>
  <c r="J61" i="29"/>
  <c r="J4" i="25"/>
  <c r="T34" i="25"/>
  <c r="T6" i="20"/>
  <c r="S6" i="20"/>
  <c r="R25" i="29"/>
  <c r="S29" i="25"/>
  <c r="R6" i="20"/>
  <c r="R23" i="20"/>
  <c r="R15" i="20"/>
  <c r="M14" i="30"/>
  <c r="Z11" i="20"/>
  <c r="AA15" i="29"/>
  <c r="Z23" i="29"/>
  <c r="X11" i="27"/>
  <c r="V63" i="29"/>
  <c r="AA27" i="25"/>
  <c r="W67" i="27"/>
  <c r="Z11" i="27"/>
  <c r="X55" i="29"/>
  <c r="X71" i="27"/>
  <c r="AA7" i="20"/>
  <c r="W3" i="29"/>
  <c r="V67" i="29"/>
  <c r="AA15" i="27"/>
  <c r="Z35" i="20"/>
  <c r="V55" i="27"/>
  <c r="Y71" i="27"/>
  <c r="AA59" i="29"/>
  <c r="Z39" i="29"/>
  <c r="AA67" i="20"/>
  <c r="V55" i="29"/>
  <c r="W11" i="27"/>
  <c r="X15" i="27"/>
  <c r="V47" i="25"/>
  <c r="Y31" i="29"/>
  <c r="W63" i="20"/>
  <c r="Z39" i="25"/>
  <c r="W55" i="29"/>
  <c r="V7" i="29"/>
  <c r="AA47" i="29"/>
  <c r="Z63" i="29"/>
  <c r="AA35" i="25"/>
  <c r="Z67" i="25"/>
  <c r="Z27" i="20"/>
  <c r="W23" i="29"/>
  <c r="Z23" i="25"/>
  <c r="Z71" i="25"/>
  <c r="V11" i="27"/>
  <c r="W63" i="27"/>
  <c r="Z7" i="25"/>
  <c r="Y35" i="20"/>
  <c r="Z71" i="29"/>
  <c r="Z55" i="27"/>
  <c r="X51" i="20"/>
  <c r="X39" i="20"/>
  <c r="Y35" i="27"/>
  <c r="V15" i="20"/>
  <c r="V19" i="27"/>
  <c r="Z3" i="25"/>
  <c r="Y39" i="29"/>
  <c r="Y47" i="20"/>
  <c r="W23" i="25"/>
  <c r="V47" i="27"/>
  <c r="V3" i="20"/>
  <c r="W31" i="29"/>
  <c r="AA55" i="27"/>
  <c r="Y19" i="25"/>
  <c r="Y11" i="20"/>
  <c r="AA55" i="25"/>
  <c r="Z7" i="20"/>
  <c r="V71" i="25"/>
  <c r="AA19" i="29"/>
  <c r="W23" i="20"/>
  <c r="Y59" i="27"/>
  <c r="Y23" i="27"/>
  <c r="W7" i="25"/>
  <c r="Y51" i="27"/>
  <c r="AA51" i="25"/>
  <c r="Y55" i="20"/>
  <c r="X67" i="29"/>
  <c r="W67" i="25"/>
  <c r="V39" i="25"/>
  <c r="AA15" i="20"/>
  <c r="AA63" i="27"/>
  <c r="W51" i="29"/>
  <c r="V35" i="27"/>
  <c r="Y43" i="27"/>
  <c r="Z11" i="29"/>
  <c r="W27" i="25"/>
  <c r="X63" i="20"/>
  <c r="Y7" i="20"/>
  <c r="AA39" i="20"/>
  <c r="AA7" i="29"/>
  <c r="AA47" i="20"/>
  <c r="W39" i="20"/>
  <c r="Y3" i="27"/>
  <c r="W51" i="25"/>
  <c r="V71" i="20"/>
  <c r="X43" i="27"/>
  <c r="Y39" i="25"/>
  <c r="AA71" i="25"/>
  <c r="X67" i="20"/>
  <c r="X51" i="25"/>
  <c r="V23" i="20"/>
  <c r="Z3" i="27"/>
  <c r="Z43" i="29"/>
  <c r="W63" i="25"/>
  <c r="X39" i="25"/>
  <c r="Z15" i="25"/>
  <c r="X15" i="25"/>
  <c r="V59" i="27"/>
  <c r="V39" i="27"/>
  <c r="Z63" i="27"/>
  <c r="W19" i="20"/>
  <c r="AA11" i="29"/>
  <c r="X31" i="20"/>
  <c r="AA71" i="29"/>
  <c r="W27" i="20"/>
  <c r="AA51" i="29"/>
  <c r="X11" i="20"/>
  <c r="V63" i="25"/>
  <c r="X31" i="25"/>
  <c r="V51" i="27"/>
  <c r="Y59" i="25"/>
  <c r="X7" i="29"/>
  <c r="V11" i="29"/>
  <c r="V23" i="29"/>
  <c r="AA63" i="20"/>
  <c r="Y27" i="25"/>
  <c r="V51" i="25"/>
  <c r="X71" i="25"/>
  <c r="Y31" i="27"/>
  <c r="X27" i="20"/>
  <c r="Z59" i="27"/>
  <c r="W7" i="27"/>
  <c r="Y15" i="27"/>
  <c r="X35" i="25"/>
  <c r="X43" i="25"/>
  <c r="Z23" i="20"/>
  <c r="X27" i="27"/>
  <c r="Y39" i="20"/>
  <c r="V31" i="20"/>
  <c r="Z43" i="27"/>
  <c r="V59" i="29"/>
  <c r="Z71" i="20"/>
  <c r="X59" i="25"/>
  <c r="Y51" i="20"/>
  <c r="Y71" i="29"/>
  <c r="X3" i="20"/>
  <c r="AA31" i="27"/>
  <c r="X51" i="27"/>
  <c r="V43" i="20"/>
  <c r="Z55" i="25"/>
  <c r="V39" i="20"/>
  <c r="X35" i="20"/>
  <c r="W43" i="29"/>
  <c r="Y15" i="20"/>
  <c r="V67" i="27"/>
  <c r="AA63" i="25"/>
  <c r="Y31" i="20"/>
  <c r="AA7" i="25"/>
  <c r="V7" i="27"/>
  <c r="V63" i="27"/>
  <c r="X23" i="27"/>
  <c r="X19" i="29"/>
  <c r="Y19" i="29"/>
  <c r="X3" i="27"/>
  <c r="Y3" i="29"/>
  <c r="AA23" i="27"/>
  <c r="Z11" i="25"/>
  <c r="X59" i="29"/>
  <c r="AA23" i="25"/>
  <c r="V31" i="29"/>
  <c r="V35" i="29"/>
  <c r="V55" i="25"/>
  <c r="V71" i="29"/>
  <c r="AA63" i="29"/>
  <c r="X71" i="29"/>
  <c r="V55" i="20"/>
  <c r="Z51" i="29"/>
  <c r="AA59" i="20"/>
  <c r="W47" i="27"/>
  <c r="AA19" i="27"/>
  <c r="W51" i="20"/>
  <c r="V71" i="27"/>
  <c r="V31" i="27"/>
  <c r="AA55" i="20"/>
  <c r="Y67" i="25"/>
  <c r="V27" i="25"/>
  <c r="V11" i="20"/>
  <c r="Z63" i="20"/>
  <c r="V7" i="20"/>
  <c r="X11" i="25"/>
  <c r="V59" i="25"/>
  <c r="V35" i="25"/>
  <c r="W71" i="29"/>
  <c r="AA71" i="20"/>
  <c r="Y19" i="27"/>
  <c r="AA55" i="29"/>
  <c r="Z35" i="25"/>
  <c r="AA19" i="25"/>
  <c r="W39" i="25"/>
  <c r="W47" i="20"/>
  <c r="W71" i="27"/>
  <c r="Y67" i="27"/>
  <c r="Y55" i="29"/>
  <c r="X15" i="29"/>
  <c r="Z51" i="27"/>
  <c r="W43" i="25"/>
  <c r="X47" i="29"/>
  <c r="X67" i="25"/>
  <c r="V67" i="25"/>
  <c r="X71" i="20"/>
  <c r="W59" i="20"/>
  <c r="AA11" i="20"/>
  <c r="AA47" i="27"/>
  <c r="AA3" i="29"/>
  <c r="Y11" i="29"/>
  <c r="Y71" i="20"/>
  <c r="W39" i="27"/>
  <c r="W63" i="29"/>
  <c r="V3" i="25"/>
  <c r="AA39" i="25"/>
  <c r="W55" i="20"/>
  <c r="AA11" i="27"/>
  <c r="Z39" i="27"/>
  <c r="V51" i="29"/>
  <c r="Y7" i="25"/>
  <c r="W59" i="27"/>
  <c r="Y7" i="29"/>
  <c r="X19" i="20"/>
  <c r="X3" i="29"/>
  <c r="Y59" i="29"/>
  <c r="Y27" i="27"/>
  <c r="X27" i="25"/>
  <c r="Z27" i="25"/>
  <c r="V47" i="20"/>
  <c r="Z3" i="29"/>
  <c r="AA71" i="27"/>
  <c r="AA43" i="29"/>
  <c r="Y23" i="20"/>
  <c r="W71" i="25"/>
  <c r="V15" i="25"/>
  <c r="W43" i="27"/>
  <c r="Y59" i="20"/>
  <c r="Y35" i="29"/>
  <c r="W11" i="29"/>
  <c r="X23" i="25"/>
  <c r="X39" i="27"/>
  <c r="Y3" i="20"/>
  <c r="AA27" i="20"/>
  <c r="X63" i="25"/>
  <c r="W11" i="25"/>
  <c r="X55" i="20"/>
  <c r="W27" i="29"/>
  <c r="Z71" i="27"/>
  <c r="Z47" i="25"/>
  <c r="Y23" i="29"/>
  <c r="V59" i="20"/>
  <c r="Z55" i="20"/>
  <c r="W15" i="25"/>
  <c r="AA43" i="20"/>
  <c r="Y11" i="27"/>
  <c r="AA27" i="27"/>
  <c r="V63" i="20"/>
  <c r="W67" i="20"/>
  <c r="W35" i="27"/>
  <c r="Z15" i="27"/>
  <c r="Y43" i="29"/>
  <c r="Z59" i="20"/>
  <c r="Z51" i="20"/>
  <c r="AA51" i="27"/>
  <c r="W3" i="20"/>
  <c r="V11" i="25"/>
  <c r="Z3" i="20"/>
  <c r="Z55" i="29"/>
  <c r="W35" i="29"/>
  <c r="Y27" i="20"/>
  <c r="Z15" i="20"/>
  <c r="X63" i="27"/>
  <c r="V47" i="29"/>
  <c r="W39" i="29"/>
  <c r="Z35" i="29"/>
  <c r="Z67" i="29"/>
  <c r="AA31" i="29"/>
  <c r="AA3" i="27"/>
  <c r="AA67" i="29"/>
  <c r="X7" i="20"/>
  <c r="Z19" i="20"/>
  <c r="Z19" i="25"/>
  <c r="W47" i="29"/>
  <c r="X27" i="29"/>
  <c r="X39" i="29"/>
  <c r="W15" i="27"/>
  <c r="V27" i="20"/>
  <c r="Y55" i="25"/>
  <c r="W15" i="20"/>
  <c r="X55" i="27"/>
  <c r="V19" i="25"/>
  <c r="Y63" i="25"/>
  <c r="V31" i="25"/>
  <c r="X23" i="29"/>
  <c r="Z35" i="27"/>
  <c r="Z63" i="25"/>
  <c r="V7" i="25"/>
  <c r="W67" i="29"/>
  <c r="Y43" i="20"/>
  <c r="Y47" i="27"/>
  <c r="AA31" i="25"/>
  <c r="W59" i="29"/>
  <c r="X59" i="27"/>
  <c r="Z31" i="20"/>
  <c r="AA19" i="20"/>
  <c r="Z15" i="29"/>
  <c r="W3" i="25"/>
  <c r="V3" i="29"/>
  <c r="Z47" i="29"/>
  <c r="Z43" i="20"/>
  <c r="AA43" i="27"/>
  <c r="Y3" i="25"/>
  <c r="AA67" i="25"/>
  <c r="V51" i="20"/>
  <c r="Y63" i="29"/>
  <c r="X43" i="29"/>
  <c r="AA43" i="25"/>
  <c r="Y19" i="20"/>
  <c r="Y11" i="25"/>
  <c r="AA35" i="27"/>
  <c r="X11" i="29"/>
  <c r="Y51" i="29"/>
  <c r="Y39" i="27"/>
  <c r="V43" i="29"/>
  <c r="Z47" i="20"/>
  <c r="Z31" i="29"/>
  <c r="AA39" i="27"/>
  <c r="Z59" i="29"/>
  <c r="W19" i="25"/>
  <c r="W55" i="25"/>
  <c r="Y67" i="29"/>
  <c r="V67" i="20"/>
  <c r="V27" i="29"/>
  <c r="Z43" i="25"/>
  <c r="V23" i="25"/>
  <c r="Y7" i="27"/>
  <c r="X47" i="25"/>
  <c r="V39" i="29"/>
  <c r="Y15" i="25"/>
  <c r="W35" i="25"/>
  <c r="W31" i="25"/>
  <c r="AA67" i="27"/>
  <c r="Z27" i="27"/>
  <c r="W7" i="20"/>
  <c r="X19" i="27"/>
  <c r="X7" i="25"/>
  <c r="Y23" i="25"/>
  <c r="AA3" i="25"/>
  <c r="AA59" i="25"/>
  <c r="Z23" i="27"/>
  <c r="Z7" i="29"/>
  <c r="W59" i="25"/>
  <c r="Z31" i="25"/>
  <c r="X51" i="29"/>
  <c r="AA11" i="25"/>
  <c r="X63" i="29"/>
  <c r="X35" i="29"/>
  <c r="V27" i="27"/>
  <c r="W31" i="27"/>
  <c r="AA39" i="29"/>
  <c r="W3" i="27"/>
  <c r="Z19" i="29"/>
  <c r="AA15" i="25"/>
  <c r="V15" i="29"/>
  <c r="Y51" i="25"/>
  <c r="V43" i="27"/>
  <c r="Y43" i="25"/>
  <c r="Y71" i="25"/>
  <c r="X15" i="20"/>
  <c r="AA3" i="20"/>
  <c r="X59" i="20"/>
  <c r="AA7" i="27"/>
  <c r="V19" i="29"/>
  <c r="W27" i="27"/>
  <c r="Y47" i="29"/>
  <c r="W51" i="27"/>
  <c r="AA27" i="29"/>
  <c r="V23" i="27"/>
  <c r="W47" i="25"/>
  <c r="Z27" i="29"/>
  <c r="AA47" i="25"/>
  <c r="Y31" i="25"/>
  <c r="Y63" i="27"/>
  <c r="X31" i="29"/>
  <c r="Y35" i="25"/>
  <c r="W15" i="29"/>
  <c r="Y27" i="29"/>
  <c r="X47" i="27"/>
  <c r="V43" i="25"/>
  <c r="V3" i="27"/>
  <c r="X55" i="25"/>
  <c r="X67" i="27"/>
  <c r="Y55" i="27"/>
  <c r="W43" i="20"/>
  <c r="Z59" i="25"/>
  <c r="V35" i="20"/>
  <c r="Z7" i="27"/>
  <c r="Z67" i="20"/>
  <c r="Z31" i="27"/>
  <c r="W7" i="29"/>
  <c r="W71" i="20"/>
  <c r="X35" i="27"/>
  <c r="Z19" i="27"/>
  <c r="Z39" i="20"/>
  <c r="Y63" i="20"/>
  <c r="X19" i="25"/>
  <c r="W19" i="27"/>
  <c r="Y67" i="20"/>
  <c r="X3" i="25"/>
  <c r="AA35" i="29"/>
  <c r="X7" i="27"/>
  <c r="X47" i="20"/>
  <c r="W23" i="27"/>
  <c r="W31" i="20"/>
  <c r="AA51" i="20"/>
  <c r="X43" i="20"/>
  <c r="X23" i="20"/>
  <c r="X31" i="27"/>
  <c r="AA31" i="20"/>
  <c r="V15" i="27"/>
  <c r="W11" i="20"/>
  <c r="W35" i="20"/>
  <c r="Y15" i="29"/>
  <c r="AA59" i="27"/>
  <c r="AA23" i="29"/>
  <c r="Y47" i="25"/>
  <c r="AA23" i="20"/>
  <c r="Z67" i="27"/>
  <c r="Z47" i="27"/>
  <c r="V19" i="20"/>
  <c r="W19" i="29"/>
  <c r="Z51" i="25"/>
  <c r="AA35" i="20"/>
  <c r="W55" i="27"/>
  <c r="S10" i="25" l="1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J75" i="20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N36" i="30" s="1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G42" i="30" s="1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N43" i="30" s="1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N48" i="30" s="1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M28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M19" i="30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N42" i="30"/>
  <c r="Q79" i="29"/>
  <c r="S77" i="29"/>
  <c r="F37" i="9" s="1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T76" i="29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G39" i="30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G13" i="30"/>
  <c r="R8" i="20"/>
  <c r="R45" i="25"/>
  <c r="Q77" i="29"/>
  <c r="S49" i="25"/>
  <c r="M44" i="30" s="1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M36" i="30" l="1"/>
  <c r="N34" i="30"/>
  <c r="N40" i="30"/>
  <c r="G7" i="30"/>
  <c r="G14" i="30"/>
  <c r="F8" i="30"/>
  <c r="G5" i="30"/>
  <c r="G15" i="30"/>
  <c r="N37" i="30"/>
  <c r="G11" i="30"/>
  <c r="S80" i="29"/>
  <c r="S75" i="29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T80" i="27"/>
  <c r="G26" i="30" s="1"/>
  <c r="G35" i="30"/>
  <c r="G38" i="30"/>
  <c r="F37" i="30"/>
  <c r="G41" i="30"/>
  <c r="F35" i="30"/>
  <c r="F43" i="30"/>
  <c r="R78" i="29"/>
  <c r="T77" i="27"/>
  <c r="G10" i="30"/>
  <c r="G17" i="30"/>
  <c r="S78" i="20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F55" i="30"/>
  <c r="M34" i="30"/>
  <c r="R79" i="27"/>
  <c r="R75" i="29"/>
  <c r="G9" i="9"/>
  <c r="R76" i="29"/>
  <c r="R76" i="25"/>
  <c r="R77" i="20"/>
  <c r="R79" i="29"/>
  <c r="T78" i="25"/>
  <c r="N45" i="30"/>
  <c r="S80" i="27"/>
  <c r="F8" i="9" s="1"/>
  <c r="M25" i="30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N24" i="30"/>
  <c r="G35" i="9"/>
  <c r="N23" i="30"/>
  <c r="F10" i="30"/>
  <c r="F14" i="30"/>
  <c r="M38" i="30"/>
  <c r="R77" i="25"/>
  <c r="F12" i="30"/>
  <c r="G38" i="9"/>
  <c r="N26" i="30"/>
  <c r="F35" i="9"/>
  <c r="M23" i="30"/>
  <c r="S77" i="27"/>
  <c r="S76" i="25"/>
  <c r="S80" i="25"/>
  <c r="G25" i="9"/>
  <c r="F41" i="30"/>
  <c r="S77" i="20"/>
  <c r="G53" i="30"/>
  <c r="S76" i="27"/>
  <c r="F9" i="30"/>
  <c r="G25" i="30"/>
  <c r="G7" i="9"/>
  <c r="G10" i="9"/>
  <c r="G28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G5" i="9"/>
  <c r="G23" i="30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M26" i="30"/>
  <c r="F38" i="9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I3" i="10"/>
  <c r="AO3" i="10"/>
  <c r="AK3" i="10"/>
  <c r="AQ3" i="10"/>
  <c r="AF3" i="10"/>
  <c r="AN3" i="10"/>
  <c r="AE3" i="10"/>
  <c r="AJ3" i="10"/>
  <c r="AP3" i="10"/>
  <c r="AL3" i="10"/>
  <c r="AG3" i="10"/>
  <c r="AD3" i="10"/>
  <c r="G16" i="9" l="1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Q4" i="10"/>
  <c r="AN4" i="10"/>
  <c r="AI4" i="10"/>
  <c r="AK4" i="10"/>
  <c r="AD4" i="10"/>
  <c r="AF4" i="10"/>
  <c r="AG4" i="10"/>
  <c r="AE4" i="10"/>
  <c r="AJ4" i="10"/>
  <c r="AL4" i="10"/>
  <c r="AP4" i="10"/>
  <c r="AO4" i="10"/>
  <c r="AC6" i="10" l="1"/>
  <c r="AI6" i="10"/>
  <c r="AL6" i="10"/>
  <c r="AE6" i="10"/>
  <c r="AN6" i="10"/>
  <c r="AG6" i="10"/>
  <c r="AQ6" i="10"/>
  <c r="AQ5" i="10"/>
  <c r="AP5" i="10"/>
  <c r="AI5" i="10"/>
  <c r="AO6" i="10"/>
  <c r="AJ6" i="10"/>
  <c r="AL5" i="10"/>
  <c r="AN5" i="10"/>
  <c r="AG5" i="10"/>
  <c r="AP6" i="10"/>
  <c r="AF6" i="10"/>
  <c r="AK5" i="10"/>
  <c r="AE5" i="10"/>
  <c r="AO5" i="10"/>
  <c r="AJ5" i="10"/>
  <c r="AD5" i="10"/>
  <c r="AD6" i="10"/>
  <c r="AF5" i="10"/>
  <c r="AK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<sst xmlns="http://schemas.openxmlformats.org/spreadsheetml/2006/main" count="974" uniqueCount="408">
  <si>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</si>
  <si>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</si>
  <si>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</si>
  <si>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</si>
  <si>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</si>
  <si>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</si>
  <si>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</si>
  <si>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</si>
  <si>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</si>
  <si>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</si>
  <si>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</si>
  <si>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</si>
  <si>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</si>
  <si>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</si>
  <si>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</si>
  <si>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</si>
  <si>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</si>
  <si>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</si>
  <si>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</si>
  <si>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</si>
  <si>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</si>
  <si>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</si>
  <si>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</si>
  <si>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</si>
  <si>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</si>
  <si>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</si>
  <si>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</si>
  <si>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</si>
  <si>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</si>
  <si>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</si>
  <si>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</si>
  <si>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</si>
  <si>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</si>
  <si>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</si>
  <si>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</si>
  <si>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</si>
  <si>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</si>
  <si>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</si>
  <si>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</si>
  <si>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</si>
  <si>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</si>
  <si>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</si>
  <si>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</si>
  <si>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</si>
  <si>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</si>
  <si>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</si>
  <si>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</si>
  <si>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</si>
  <si>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</si>
  <si>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</si>
  <si>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</si>
  <si>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</si>
  <si>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</si>
  <si>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</si>
  <si>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</si>
  <si>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</si>
  <si>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</si>
  <si>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</si>
  <si>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</si>
  <si>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</si>
  <si>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</si>
  <si>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</si>
  <si>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</si>
  <si>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</si>
  <si>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</si>
  <si>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</si>
  <si>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</si>
  <si>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</si>
  <si>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</si>
  <si>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</si>
  <si>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</si>
  <si>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</si>
  <si>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</si>
  <si>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</si>
  <si>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</si>
  <si>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</si>
  <si>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</si>
  <si>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</si>
  <si>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</si>
  <si>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</si>
  <si>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</si>
  <si>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</si>
  <si>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</si>
  <si>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</si>
  <si>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</si>
  <si>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</si>
  <si>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</si>
  <si>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</si>
  <si>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</si>
  <si>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</si>
  <si>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</si>
  <si>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</si>
  <si>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</si>
  <si>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</si>
  <si>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</si>
  <si>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</si>
  <si>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</si>
  <si>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</si>
  <si>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</si>
  <si>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</si>
  <si>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</si>
  <si>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</si>
  <si>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</si>
  <si>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</si>
  <si>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</si>
  <si>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</si>
  <si>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</si>
  <si>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</si>
  <si>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</si>
  <si>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</si>
  <si>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</si>
  <si>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</si>
  <si>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</si>
  <si>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</si>
  <si>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</si>
  <si>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</si>
  <si>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</si>
  <si>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</si>
  <si>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</si>
  <si>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</si>
  <si>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</si>
  <si>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</si>
  <si>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</si>
  <si>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</si>
  <si>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</si>
  <si>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</si>
  <si>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</si>
  <si>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</si>
  <si>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</si>
  <si>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</si>
  <si>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</si>
  <si>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</si>
  <si>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</si>
  <si>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</si>
  <si>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</si>
  <si>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</si>
  <si>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</si>
  <si>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</si>
  <si>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</si>
  <si>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</si>
  <si>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</si>
  <si>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</si>
  <si>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</si>
  <si>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</si>
  <si>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</si>
  <si>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</si>
  <si>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</si>
  <si>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</si>
  <si>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</si>
  <si>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</si>
  <si>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</si>
  <si>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</si>
  <si>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</si>
  <si>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</si>
  <si>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</si>
  <si>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</si>
  <si>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</si>
  <si>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</si>
  <si>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</si>
  <si>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</si>
  <si>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</si>
  <si>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</si>
  <si>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</si>
  <si>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</si>
  <si>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</si>
  <si>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</si>
  <si>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</si>
  <si>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</si>
  <si>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</si>
  <si>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</si>
  <si>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</si>
  <si>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</si>
  <si>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</si>
  <si>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</si>
  <si>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</si>
  <si>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</si>
  <si>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</si>
  <si>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</si>
  <si>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</si>
  <si>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</si>
  <si>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</si>
  <si>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</si>
  <si>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</si>
  <si>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</si>
  <si>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</si>
  <si>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</si>
  <si>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</si>
  <si>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</si>
  <si>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</si>
  <si>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</si>
  <si>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</si>
  <si>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</si>
  <si>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</si>
  <si>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</si>
  <si>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</si>
  <si>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</si>
  <si>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</si>
  <si>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</si>
  <si>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</si>
  <si>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</si>
  <si>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</si>
  <si>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</si>
  <si>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</si>
  <si>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</si>
  <si>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</si>
  <si>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</si>
  <si>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</si>
  <si>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</si>
  <si>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</si>
  <si>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</si>
  <si>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</si>
  <si>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</si>
  <si>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</si>
  <si>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</si>
  <si>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</si>
  <si>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</si>
  <si>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</si>
  <si>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</si>
  <si>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</si>
  <si>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</si>
  <si>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</si>
  <si>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</si>
  <si>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</si>
  <si>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</si>
  <si>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</si>
  <si>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</si>
  <si>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</si>
  <si>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</si>
  <si>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</si>
  <si>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</si>
  <si>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</si>
  <si>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</si>
  <si>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</si>
  <si>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</si>
  <si>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</si>
  <si>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</si>
  <si>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</si>
  <si>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</si>
  <si>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</si>
  <si>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</si>
  <si>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</si>
  <si>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</si>
  <si>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</si>
  <si>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</si>
  <si>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</si>
  <si>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</si>
  <si>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</si>
  <si>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</si>
  <si>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</si>
  <si>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</si>
  <si>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</si>
  <si>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</si>
  <si>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</si>
  <si>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</si>
  <si>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</si>
  <si>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</si>
  <si>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</si>
  <si>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</si>
  <si>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</si>
  <si>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</si>
  <si>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</si>
  <si>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</si>
  <si>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</si>
  <si>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</si>
  <si>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</si>
  <si>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</si>
  <si>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</si>
  <si>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</si>
  <si>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</si>
  <si>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</si>
  <si>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</si>
  <si>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</si>
  <si>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</si>
  <si>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</si>
  <si>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</si>
  <si>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</si>
  <si>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</si>
  <si>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</si>
  <si>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</si>
  <si>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</si>
  <si>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</si>
  <si>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</si>
  <si>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</si>
  <si>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</si>
  <si>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</si>
  <si>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</si>
  <si>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</si>
  <si>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</si>
  <si>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</si>
  <si>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</si>
  <si>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</si>
  <si>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</si>
  <si>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</si>
  <si>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</si>
  <si>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</si>
  <si>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</si>
  <si>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</si>
  <si>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</si>
  <si>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</si>
  <si>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</si>
  <si>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</si>
  <si>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</si>
  <si>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</si>
  <si>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</si>
  <si>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</si>
  <si>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</si>
  <si>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</si>
  <si>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</si>
  <si>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</si>
  <si>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</si>
  <si>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</si>
  <si>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</si>
  <si>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</si>
  <si>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</si>
  <si>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</si>
  <si>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</si>
  <si>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</si>
  <si>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</si>
  <si>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</si>
  <si>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</si>
  <si>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</si>
  <si>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</si>
  <si>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</si>
  <si>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</si>
  <si>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</si>
  <si>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</si>
  <si>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</si>
  <si>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</si>
  <si>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</si>
  <si>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</si>
  <si>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</si>
  <si>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</si>
  <si>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</si>
  <si>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</si>
  <si>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</si>
  <si>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</si>
  <si>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</si>
  <si>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</si>
  <si>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</si>
  <si>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</si>
  <si>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</si>
  <si>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</si>
  <si>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</si>
  <si>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</si>
  <si>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</si>
  <si>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</si>
  <si>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</si>
  <si>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</si>
  <si>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</si>
  <si>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</si>
  <si>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</si>
  <si>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</si>
  <si>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</si>
  <si>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</si>
  <si>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</si>
  <si>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</si>
  <si>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</si>
  <si>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</si>
  <si>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</si>
  <si>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</si>
  <si>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</si>
  <si>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</si>
  <si>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</si>
  <si>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</si>
  <si>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</si>
  <si>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</si>
  <si>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</si>
  <si>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</si>
  <si>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</si>
  <si>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</si>
  <si>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</si>
  <si>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</si>
  <si>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</si>
  <si>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</si>
  <si>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</si>
  <si>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</si>
  <si>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</si>
  <si>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</si>
  <si>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</si>
  <si>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</si>
  <si>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</si>
  <si>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</si>
  <si>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</si>
  <si>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</si>
  <si>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</si>
  <si>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</si>
  <si>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</si>
  <si>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</si>
  <si>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</si>
  <si>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</si>
  <si>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</si>
  <si>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</si>
  <si>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</si>
  <si>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</si>
  <si>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</si>
  <si>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</si>
  <si>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</si>
  <si>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</si>
  <si>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</si>
  <si>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</si>
  <si>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</si>
  <si>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</si>
  <si>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</si>
  <si>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</si>
  <si>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</si>
  <si>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</si>
  <si>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HPM7.0</t>
    <phoneticPr fontId="1" type="noConversion"/>
  </si>
  <si>
    <t>HPM8.0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</si>
</sst>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HPM7.0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C3" sqref="C3:G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HPM7.0</v>
      </c>
      <c r="D3" s="151"/>
      <c r="E3" s="151"/>
      <c r="F3" s="151"/>
      <c r="G3" s="152"/>
      <c r="I3" s="102"/>
      <c r="J3" s="150" t="str">
        <f>CONCATENATE("Over ", Summary!$J$3)</f>
        <v>Over HPM7.0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 t="e">
        <f>'AI-10'!$V$3</f>
        <v>#VALUE!</v>
      </c>
      <c r="D5" s="112" t="e">
        <f>'AI-10'!$W$3</f>
        <v>#VALUE!</v>
      </c>
      <c r="E5" s="113" t="e">
        <f>'AI-10'!$X$3</f>
        <v>#VALUE!</v>
      </c>
      <c r="F5" s="114" t="e">
        <f>GEOMEAN('AI-10'!$S$3:'AI-10'!$S$6)</f>
        <v>#NUM!</v>
      </c>
      <c r="G5" s="115" t="e">
        <f>GEOMEAN('AI-10'!$T$3:'AI-10'!$T$6)</f>
        <v>#NUM!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 t="e">
        <f>'AI-10'!$V$7</f>
        <v>#VALUE!</v>
      </c>
      <c r="D6" s="118" t="e">
        <f>'AI-10'!$W$7</f>
        <v>#VALUE!</v>
      </c>
      <c r="E6" s="119" t="e">
        <f>'AI-10'!$X$7</f>
        <v>#VALUE!</v>
      </c>
      <c r="F6" s="120" t="e">
        <f>GEOMEAN('AI-10'!$S$7:'AI-10'!$S$10)</f>
        <v>#NUM!</v>
      </c>
      <c r="G6" s="121" t="e">
        <f>GEOMEAN('AI-10'!$T$7:'AI-10'!$T$10)</f>
        <v>#NUM!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 t="e">
        <f>'AI-10'!$V$11</f>
        <v>#VALUE!</v>
      </c>
      <c r="D7" s="118" t="e">
        <f>'AI-10'!$W$11</f>
        <v>#VALUE!</v>
      </c>
      <c r="E7" s="119" t="e">
        <f>'AI-10'!$X$11</f>
        <v>#VALUE!</v>
      </c>
      <c r="F7" s="130" t="e">
        <f>GEOMEAN('AI-10'!$S$11:'AI-10'!$S$14)</f>
        <v>#NUM!</v>
      </c>
      <c r="G7" s="121" t="e">
        <f>GEOMEAN('AI-10'!$T$11:'AI-10'!$T$14)</f>
        <v>#NUM!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 t="e">
        <f>'AI-10'!$V$15</f>
        <v>#VALUE!</v>
      </c>
      <c r="D8" s="124" t="e">
        <f>'AI-10'!$W$15</f>
        <v>#VALUE!</v>
      </c>
      <c r="E8" s="125" t="e">
        <f>'AI-10'!$X$15</f>
        <v>#VALUE!</v>
      </c>
      <c r="F8" s="126" t="e">
        <f>GEOMEAN('AI-10'!$S$15:'AI-10'!$S$18)</f>
        <v>#NUM!</v>
      </c>
      <c r="G8" s="127" t="e">
        <f>GEOMEAN('AI-10'!$T$15:'AI-10'!$T$18)</f>
        <v>#NUM!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 t="e">
        <f>'AI-10'!$V$19</f>
        <v>#VALUE!</v>
      </c>
      <c r="D9" s="112" t="e">
        <f>'AI-10'!$W$19</f>
        <v>#VALUE!</v>
      </c>
      <c r="E9" s="113" t="e">
        <f>'AI-10'!$X$19</f>
        <v>#VALUE!</v>
      </c>
      <c r="F9" s="114" t="e">
        <f>GEOMEAN('AI-10'!$S$19:'AI-10'!$S$22)</f>
        <v>#NUM!</v>
      </c>
      <c r="G9" s="115" t="e">
        <f>GEOMEAN('AI-10'!$T$19:'AI-10'!$T$22)</f>
        <v>#NUM!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 t="e">
        <f>'AI-10'!$V$23</f>
        <v>#VALUE!</v>
      </c>
      <c r="D10" s="118" t="e">
        <f>'AI-10'!$W$23</f>
        <v>#VALUE!</v>
      </c>
      <c r="E10" s="119" t="e">
        <f>'AI-10'!$X$23</f>
        <v>#VALUE!</v>
      </c>
      <c r="F10" s="120" t="e">
        <f>GEOMEAN('AI-10'!$S$23:'AI-10'!$S$26)</f>
        <v>#NUM!</v>
      </c>
      <c r="G10" s="121" t="e">
        <f>GEOMEAN('AI-10'!$T$23:'AI-10'!$T$26)</f>
        <v>#NUM!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 t="e">
        <f>'AI-10'!$V$27</f>
        <v>#VALUE!</v>
      </c>
      <c r="D11" s="118" t="e">
        <f>'AI-10'!$W$27</f>
        <v>#VALUE!</v>
      </c>
      <c r="E11" s="119" t="e">
        <f>'AI-10'!$X$27</f>
        <v>#VALUE!</v>
      </c>
      <c r="F11" s="120" t="e">
        <f>GEOMEAN('AI-10'!$S$27:'AI-10'!$S$30)</f>
        <v>#NUM!</v>
      </c>
      <c r="G11" s="121" t="e">
        <f>GEOMEAN('AI-10'!$T$27:'AI-10'!$T$30)</f>
        <v>#NUM!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-6.1108544699060019E-3</v>
      </c>
      <c r="D12" s="124">
        <f>'AI-10'!$W$31</f>
        <v>-1.0773146592191307E-2</v>
      </c>
      <c r="E12" s="125">
        <f>'AI-10'!$X$31</f>
        <v>-1.0229235463341424E-2</v>
      </c>
      <c r="F12" s="126">
        <f>GEOMEAN('AI-10'!$S$31:'AI-10'!$S$34)</f>
        <v>1.0175218912548047</v>
      </c>
      <c r="G12" s="127">
        <f>GEOMEAN('AI-10'!$T$31:'AI-10'!$T$34)</f>
        <v>0.9705434093357197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-2.4241258890737027E-3</v>
      </c>
      <c r="D13" s="112">
        <f>'AI-10'!$W$35</f>
        <v>-5.0242276446950118E-3</v>
      </c>
      <c r="E13" s="113">
        <f>'AI-10'!$X$35</f>
        <v>-1.7353913831065992E-2</v>
      </c>
      <c r="F13" s="114">
        <f>GEOMEAN('AI-10'!$S$35:'AI-10'!$S$38)</f>
        <v>1.0153861350135573</v>
      </c>
      <c r="G13" s="115">
        <f>GEOMEAN('AI-10'!$T$35:'AI-10'!$T$38)</f>
        <v>0.97969289646724822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-4.8044929334964959E-3</v>
      </c>
      <c r="D14" s="118">
        <f>'AI-10'!$W$39</f>
        <v>-2.7033032573040572E-2</v>
      </c>
      <c r="E14" s="119">
        <f>'AI-10'!$X$39</f>
        <v>-1.766434836296249E-2</v>
      </c>
      <c r="F14" s="120">
        <f>GEOMEAN('AI-10'!$S$39:'AI-10'!$S$42)</f>
        <v>1.0249432536123888</v>
      </c>
      <c r="G14" s="121">
        <f>GEOMEAN('AI-10'!$T$39:'AI-10'!$T$42)</f>
        <v>1.0007224815654314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-6.4741531489326265E-3</v>
      </c>
      <c r="D15" s="118">
        <f>'AI-10'!$W$43</f>
        <v>-5.8062794155506747E-3</v>
      </c>
      <c r="E15" s="119">
        <f>'AI-10'!$X$43</f>
        <v>-1.6676233352488801E-2</v>
      </c>
      <c r="F15" s="120">
        <f>GEOMEAN('AI-10'!$S$43:'AI-10'!$S$46)</f>
        <v>1.027935129176184</v>
      </c>
      <c r="G15" s="121">
        <f>GEOMEAN('AI-10'!$T$43:'AI-10'!$T$46)</f>
        <v>1.0097986168710187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-3.7565838761315362E-3</v>
      </c>
      <c r="D16" s="124">
        <f>'AI-10'!$W$47</f>
        <v>1.5498648676008475E-2</v>
      </c>
      <c r="E16" s="125">
        <f>'AI-10'!$X$47</f>
        <v>-9.3802859066416389E-3</v>
      </c>
      <c r="F16" s="126">
        <f>GEOMEAN('AI-10'!$S$47:'AI-10'!$S$50)</f>
        <v>1.0171651850605259</v>
      </c>
      <c r="G16" s="127">
        <f>GEOMEAN('AI-10'!$T$47:'AI-10'!$T$50)</f>
        <v>0.99035399017872228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 t="e">
        <f>'AI-10'!$V75</f>
        <v>#VALUE!</v>
      </c>
      <c r="D23" s="112" t="e">
        <f>'AI-10'!$W75</f>
        <v>#VALUE!</v>
      </c>
      <c r="E23" s="113" t="e">
        <f>'AI-10'!$X75</f>
        <v>#VALUE!</v>
      </c>
      <c r="F23" s="128" t="e">
        <f>'AI-10'!$S75</f>
        <v>#NUM!</v>
      </c>
      <c r="G23" s="115" t="e">
        <f>'AI-10'!$T75</f>
        <v>#NUM!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 t="e">
        <f>'AI-10'!$V76</f>
        <v>#VALUE!</v>
      </c>
      <c r="D24" s="118" t="e">
        <f>'AI-10'!$W76</f>
        <v>#VALUE!</v>
      </c>
      <c r="E24" s="119" t="e">
        <f>'AI-10'!$X76</f>
        <v>#VALUE!</v>
      </c>
      <c r="F24" s="130" t="e">
        <f>'AI-10'!$S76</f>
        <v>#NUM!</v>
      </c>
      <c r="G24" s="121" t="e">
        <f>'AI-10'!$T76</f>
        <v>#NUM!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-4.3648389619085903E-3</v>
      </c>
      <c r="D25" s="118">
        <f>'AI-10'!$W77</f>
        <v>-5.5912227393194458E-3</v>
      </c>
      <c r="E25" s="119">
        <f>'AI-10'!$X77</f>
        <v>-1.526869536328973E-2</v>
      </c>
      <c r="F25" s="130">
        <f>'AI-10'!$S77</f>
        <v>1.0213440455116944</v>
      </c>
      <c r="G25" s="121">
        <f>'AI-10'!$T77</f>
        <v>0.99507819724288726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 t="e">
        <f>'AI-10'!$V80</f>
        <v>#VALUE!</v>
      </c>
      <c r="D26" s="137" t="e">
        <f>'AI-10'!$W80</f>
        <v>#VALUE!</v>
      </c>
      <c r="E26" s="136" t="e">
        <f>'AI-10'!$X80</f>
        <v>#VALUE!</v>
      </c>
      <c r="F26" s="135" t="e">
        <f>'AI-10'!$S80</f>
        <v>#NUM!</v>
      </c>
      <c r="G26" s="134" t="e">
        <f>'AI-10'!$T80</f>
        <v>#NUM!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HPM7.0</v>
      </c>
      <c r="D31" s="151"/>
      <c r="E31" s="151"/>
      <c r="F31" s="151"/>
      <c r="G31" s="152"/>
      <c r="I31" s="102"/>
      <c r="J31" s="150" t="str">
        <f>CONCATENATE("Over ", Summary!$J$3)</f>
        <v>Over HPM7.0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 t="e">
        <f>'RA-10'!$V$3</f>
        <v>#VALUE!</v>
      </c>
      <c r="D33" s="112" t="e">
        <f>'RA-10'!$W$3</f>
        <v>#VALUE!</v>
      </c>
      <c r="E33" s="113" t="e">
        <f>'RA-10'!$X$3</f>
        <v>#VALUE!</v>
      </c>
      <c r="F33" s="114" t="e">
        <f>GEOMEAN('RA-10'!$S$3:'RA-10'!$S$6)</f>
        <v>#NUM!</v>
      </c>
      <c r="G33" s="115" t="e">
        <f>GEOMEAN('RA-10'!$T$3:'RA-10'!$T$6)</f>
        <v>#NUM!</v>
      </c>
      <c r="I33" s="110" t="str">
        <f>'AI-10'!$B$3</f>
        <v>Tango2</v>
      </c>
      <c r="J33" s="111" t="e">
        <f>'LDB-10'!$V$3</f>
        <v>#VALUE!</v>
      </c>
      <c r="K33" s="112" t="e">
        <f>'LDB-10'!$W$3</f>
        <v>#VALUE!</v>
      </c>
      <c r="L33" s="113" t="e">
        <f>'LDB-10'!$X$3</f>
        <v>#VALUE!</v>
      </c>
      <c r="M33" s="114" t="e">
        <f>GEOMEAN('LDB-10'!$S$3:'LDB-10'!$S$6)</f>
        <v>#NUM!</v>
      </c>
      <c r="N33" s="115" t="e">
        <f>GEOMEAN('LDB-10'!$T$3:'LDB-10'!$T$6)</f>
        <v>#NUM!</v>
      </c>
    </row>
    <row r="34" spans="2:14" ht="12.75" customHeight="1" x14ac:dyDescent="0.2">
      <c r="B34" s="116" t="str">
        <f>'AI-10'!$B$7</f>
        <v>ParkRunning3</v>
      </c>
      <c r="C34" s="117" t="e">
        <f>'RA-10'!$V$7</f>
        <v>#VALUE!</v>
      </c>
      <c r="D34" s="118" t="e">
        <f>'RA-10'!$W$7</f>
        <v>#VALUE!</v>
      </c>
      <c r="E34" s="119" t="e">
        <f>'RA-10'!$X$7</f>
        <v>#VALUE!</v>
      </c>
      <c r="F34" s="120" t="e">
        <f>GEOMEAN('RA-10'!$S$7:'RA-10'!$S$10)</f>
        <v>#NUM!</v>
      </c>
      <c r="G34" s="121" t="e">
        <f>GEOMEAN('RA-10'!$T$7:'RA-10'!$T$10)</f>
        <v>#NUM!</v>
      </c>
      <c r="I34" s="116" t="str">
        <f>'AI-10'!$B$7</f>
        <v>ParkRunning3</v>
      </c>
      <c r="J34" s="117" t="e">
        <f>'LDB-10'!$V$7</f>
        <v>#VALUE!</v>
      </c>
      <c r="K34" s="118" t="e">
        <f>'LDB-10'!$W$7</f>
        <v>#VALUE!</v>
      </c>
      <c r="L34" s="119" t="e">
        <f>'LDB-10'!$X$7</f>
        <v>#VALUE!</v>
      </c>
      <c r="M34" s="120" t="e">
        <f>GEOMEAN('LDB-10'!$S$7:'LDB-10'!$S$10)</f>
        <v>#NUM!</v>
      </c>
      <c r="N34" s="121" t="e">
        <f>GEOMEAN('LDB-10'!$T$7:'LDB-10'!$T$10)</f>
        <v>#NUM!</v>
      </c>
    </row>
    <row r="35" spans="2:14" ht="12.75" customHeight="1" x14ac:dyDescent="0.2">
      <c r="B35" s="116" t="str">
        <f>'AI-10'!$B$11</f>
        <v>Campfire</v>
      </c>
      <c r="C35" s="117" t="e">
        <f>'RA-10'!$V$11</f>
        <v>#VALUE!</v>
      </c>
      <c r="D35" s="118" t="e">
        <f>'RA-10'!$W$11</f>
        <v>#VALUE!</v>
      </c>
      <c r="E35" s="119" t="e">
        <f>'RA-10'!$X$11</f>
        <v>#VALUE!</v>
      </c>
      <c r="F35" s="130" t="e">
        <f>GEOMEAN('RA-10'!$S$11:'RA-10'!$S$14)</f>
        <v>#NUM!</v>
      </c>
      <c r="G35" s="121" t="e">
        <f>GEOMEAN('RA-10'!$T$11:'RA-10'!$T$14)</f>
        <v>#NUM!</v>
      </c>
      <c r="I35" s="116" t="str">
        <f>'AI-10'!$B$11</f>
        <v>Campfire</v>
      </c>
      <c r="J35" s="117" t="e">
        <f>'LDB-10'!$V$11</f>
        <v>#VALUE!</v>
      </c>
      <c r="K35" s="118" t="e">
        <f>'LDB-10'!$W$11</f>
        <v>#VALUE!</v>
      </c>
      <c r="L35" s="119" t="e">
        <f>'LDB-10'!$X$11</f>
        <v>#VALUE!</v>
      </c>
      <c r="M35" s="130" t="e">
        <f>GEOMEAN('LDB-10'!$S$11:'LDB-10'!$S$14)</f>
        <v>#NUM!</v>
      </c>
      <c r="N35" s="121" t="e">
        <f>GEOMEAN('LDB-10'!$T$11:'LDB-10'!$T$14)</f>
        <v>#NUM!</v>
      </c>
    </row>
    <row r="36" spans="2:14" ht="12.75" customHeight="1" thickBot="1" x14ac:dyDescent="0.25">
      <c r="B36" s="122" t="str">
        <f>'AI-10'!$B$15</f>
        <v>DaylightRoad2</v>
      </c>
      <c r="C36" s="123" t="e">
        <f>'RA-10'!$V$15</f>
        <v>#VALUE!</v>
      </c>
      <c r="D36" s="124" t="e">
        <f>'RA-10'!$W$15</f>
        <v>#VALUE!</v>
      </c>
      <c r="E36" s="125" t="e">
        <f>'RA-10'!$X$15</f>
        <v>#VALUE!</v>
      </c>
      <c r="F36" s="126" t="e">
        <f>GEOMEAN('RA-10'!$S$15:'RA-10'!$S$18)</f>
        <v>#NUM!</v>
      </c>
      <c r="G36" s="127" t="e">
        <f>GEOMEAN('RA-10'!$T$15:'RA-10'!$T$18)</f>
        <v>#NUM!</v>
      </c>
      <c r="I36" s="122" t="str">
        <f>'AI-10'!$B$15</f>
        <v>DaylightRoad2</v>
      </c>
      <c r="J36" s="123" t="e">
        <f>'LDB-10'!$V$15</f>
        <v>#VALUE!</v>
      </c>
      <c r="K36" s="124" t="e">
        <f>'LDB-10'!$W$15</f>
        <v>#VALUE!</v>
      </c>
      <c r="L36" s="125" t="e">
        <f>'LDB-10'!$X$15</f>
        <v>#VALUE!</v>
      </c>
      <c r="M36" s="126" t="e">
        <f>GEOMEAN('LDB-10'!$S$15:'LDB-10'!$S$18)</f>
        <v>#NUM!</v>
      </c>
      <c r="N36" s="127" t="e">
        <f>GEOMEAN('LDB-10'!$T$15:'LDB-10'!$T$18)</f>
        <v>#NUM!</v>
      </c>
    </row>
    <row r="37" spans="2:14" ht="12.75" customHeight="1" x14ac:dyDescent="0.2">
      <c r="B37" s="110" t="str">
        <f>'AI-10'!$B$19</f>
        <v>Cactus</v>
      </c>
      <c r="C37" s="111">
        <f>'RA-10'!$V$19</f>
        <v>-1.7431216533791871E-2</v>
      </c>
      <c r="D37" s="112">
        <f>'RA-10'!$W$19</f>
        <v>-7.1677349430027126E-3</v>
      </c>
      <c r="E37" s="113">
        <f>'RA-10'!$X$19</f>
        <v>-1.2855639958486931E-2</v>
      </c>
      <c r="F37" s="114">
        <f>GEOMEAN('RA-10'!$S$19:'RA-10'!$S$22)</f>
        <v>1.0839606473618613</v>
      </c>
      <c r="G37" s="115">
        <f>GEOMEAN('RA-10'!$T$19:'RA-10'!$T$22)</f>
        <v>1.0297647351838646</v>
      </c>
      <c r="I37" s="110" t="str">
        <f>'AI-10'!$B$19</f>
        <v>Cactus</v>
      </c>
      <c r="J37" s="111" t="e">
        <f>'LDB-10'!$V$19</f>
        <v>#VALUE!</v>
      </c>
      <c r="K37" s="112" t="e">
        <f>'LDB-10'!$W$19</f>
        <v>#VALUE!</v>
      </c>
      <c r="L37" s="113" t="e">
        <f>'LDB-10'!$X$19</f>
        <v>#VALUE!</v>
      </c>
      <c r="M37" s="114" t="e">
        <f>GEOMEAN('LDB-10'!$S$19:'LDB-10'!$S$22)</f>
        <v>#NUM!</v>
      </c>
      <c r="N37" s="115" t="e">
        <f>GEOMEAN('LDB-10'!$T$19:'LDB-10'!$T$22)</f>
        <v>#NUM!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-1.8078002568736817E-2</v>
      </c>
      <c r="D38" s="118">
        <f>'RA-10'!$W$23</f>
        <v>-9.9001673898783116E-3</v>
      </c>
      <c r="E38" s="119">
        <f>'RA-10'!$X$23</f>
        <v>-2.1636042423758828E-2</v>
      </c>
      <c r="F38" s="120">
        <f>GEOMEAN('RA-10'!$S$23:'RA-10'!$S$26)</f>
        <v>1.0712567689572066</v>
      </c>
      <c r="G38" s="121">
        <f>GEOMEAN('RA-10'!$T$23:'RA-10'!$T$26)</f>
        <v>1.0408306101858118</v>
      </c>
      <c r="I38" s="116" t="str">
        <f>'AI-10'!$B$23</f>
        <v>BasketballDrive</v>
      </c>
      <c r="J38" s="117" t="e">
        <f>'LDB-10'!$V$23</f>
        <v>#VALUE!</v>
      </c>
      <c r="K38" s="118" t="e">
        <f>'LDB-10'!$W$23</f>
        <v>#VALUE!</v>
      </c>
      <c r="L38" s="119" t="e">
        <f>'LDB-10'!$X$23</f>
        <v>#VALUE!</v>
      </c>
      <c r="M38" s="120" t="e">
        <f>GEOMEAN('LDB-10'!$S$23:'LDB-10'!$S$26)</f>
        <v>#NUM!</v>
      </c>
      <c r="N38" s="121" t="e">
        <f>GEOMEAN('LDB-10'!$T$23:'LDB-10'!$T$26)</f>
        <v>#NUM!</v>
      </c>
    </row>
    <row r="39" spans="2:14" ht="12.75" customHeight="1" x14ac:dyDescent="0.2">
      <c r="B39" s="116" t="str">
        <f>'AI-10'!$B$27</f>
        <v>MarketPlace</v>
      </c>
      <c r="C39" s="117">
        <f>'RA-10'!$V$27</f>
        <v>-1.6173152345591246E-2</v>
      </c>
      <c r="D39" s="118">
        <f>'RA-10'!$W$27</f>
        <v>-1.8762357057168666E-2</v>
      </c>
      <c r="E39" s="119">
        <f>'RA-10'!$X$27</f>
        <v>-9.1781828952147704E-3</v>
      </c>
      <c r="F39" s="120">
        <f>GEOMEAN('RA-10'!$S$27:'RA-10'!$S$30)</f>
        <v>1.1257091442241496</v>
      </c>
      <c r="G39" s="121">
        <f>GEOMEAN('RA-10'!$T$27:'RA-10'!$T$30)</f>
        <v>1.0160004203472379</v>
      </c>
      <c r="I39" s="116" t="str">
        <f>'AI-10'!$B$27</f>
        <v>MarketPlace</v>
      </c>
      <c r="J39" s="117" t="e">
        <f>'LDB-10'!$V$27</f>
        <v>#VALUE!</v>
      </c>
      <c r="K39" s="118" t="e">
        <f>'LDB-10'!$W$27</f>
        <v>#VALUE!</v>
      </c>
      <c r="L39" s="119" t="e">
        <f>'LDB-10'!$X$27</f>
        <v>#VALUE!</v>
      </c>
      <c r="M39" s="120" t="e">
        <f>GEOMEAN('LDB-10'!$S$27:'LDB-10'!$S$30)</f>
        <v>#NUM!</v>
      </c>
      <c r="N39" s="121" t="e">
        <f>GEOMEAN('LDB-10'!$T$27:'LDB-10'!$T$30)</f>
        <v>#NUM!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-2.3545003129590403E-2</v>
      </c>
      <c r="D40" s="124">
        <f>'RA-10'!$W$31</f>
        <v>-3.1500685680320051E-2</v>
      </c>
      <c r="E40" s="125">
        <f>'RA-10'!$X$31</f>
        <v>-4.6272970153281023E-2</v>
      </c>
      <c r="F40" s="126">
        <f>GEOMEAN('RA-10'!$S$31:'RA-10'!$S$34)</f>
        <v>1.0436408991904822</v>
      </c>
      <c r="G40" s="127">
        <f>GEOMEAN('RA-10'!$T$31:'RA-10'!$T$34)</f>
        <v>1.0489500287893145</v>
      </c>
      <c r="I40" s="122" t="str">
        <f>'AI-10'!$B$31</f>
        <v>RitualDance</v>
      </c>
      <c r="J40" s="123" t="e">
        <f>'LDB-10'!$V$31</f>
        <v>#VALUE!</v>
      </c>
      <c r="K40" s="124" t="e">
        <f>'LDB-10'!$W$31</f>
        <v>#VALUE!</v>
      </c>
      <c r="L40" s="125" t="e">
        <f>'LDB-10'!$X$31</f>
        <v>#VALUE!</v>
      </c>
      <c r="M40" s="126" t="e">
        <f>GEOMEAN('LDB-10'!$S$31:'LDB-10'!$S$34)</f>
        <v>#NUM!</v>
      </c>
      <c r="N40" s="127" t="e">
        <f>GEOMEAN('LDB-10'!$T$31:'LDB-10'!$T$34)</f>
        <v>#NUM!</v>
      </c>
    </row>
    <row r="41" spans="2:14" ht="12.75" customHeight="1" x14ac:dyDescent="0.2">
      <c r="B41" s="110" t="str">
        <f>'AI-10'!$B$35</f>
        <v>City</v>
      </c>
      <c r="C41" s="111">
        <f>'RA-10'!$V$35</f>
        <v>-1.2770268384973638E-2</v>
      </c>
      <c r="D41" s="112">
        <f>'RA-10'!$W$35</f>
        <v>-1.0308582106631548E-2</v>
      </c>
      <c r="E41" s="113">
        <f>'RA-10'!$X$35</f>
        <v>-1.2807867640690085E-2</v>
      </c>
      <c r="F41" s="114">
        <f>GEOMEAN('RA-10'!$S$35:'RA-10'!$S$38)</f>
        <v>1.1488029906819914</v>
      </c>
      <c r="G41" s="115">
        <f>GEOMEAN('RA-10'!$T$35:'RA-10'!$T$38)</f>
        <v>1.0395555550509656</v>
      </c>
      <c r="I41" s="110" t="str">
        <f>'AI-10'!$B$35</f>
        <v>City</v>
      </c>
      <c r="J41" s="111" t="e">
        <f>'LDB-10'!$V$35</f>
        <v>#VALUE!</v>
      </c>
      <c r="K41" s="112" t="e">
        <f>'LDB-10'!$W$35</f>
        <v>#VALUE!</v>
      </c>
      <c r="L41" s="113" t="e">
        <f>'LDB-10'!$X$35</f>
        <v>#VALUE!</v>
      </c>
      <c r="M41" s="114" t="e">
        <f>GEOMEAN('LDB-10'!$S$35:'LDB-10'!$S$38)</f>
        <v>#NUM!</v>
      </c>
      <c r="N41" s="115" t="e">
        <f>GEOMEAN('LDB-10'!$T$35:'LDB-10'!$T$38)</f>
        <v>#NUM!</v>
      </c>
    </row>
    <row r="42" spans="2:14" ht="12.75" customHeight="1" x14ac:dyDescent="0.2">
      <c r="B42" s="116" t="str">
        <f>'AI-10'!$B$39</f>
        <v>Crew</v>
      </c>
      <c r="C42" s="117">
        <f>'RA-10'!$V$39</f>
        <v>-1.9810859190922847E-2</v>
      </c>
      <c r="D42" s="118">
        <f>'RA-10'!$W$39</f>
        <v>-0.11201143998543872</v>
      </c>
      <c r="E42" s="119">
        <f>'RA-10'!$X$39</f>
        <v>-2.7045102570652624E-2</v>
      </c>
      <c r="F42" s="120">
        <f>GEOMEAN('RA-10'!$S$39:'RA-10'!$S$42)</f>
        <v>1.098754860867218</v>
      </c>
      <c r="G42" s="121">
        <f>GEOMEAN('RA-10'!$T$39:'RA-10'!$T$42)</f>
        <v>1.0701667784066198</v>
      </c>
      <c r="I42" s="116" t="str">
        <f>'AI-10'!$B$39</f>
        <v>Crew</v>
      </c>
      <c r="J42" s="117" t="e">
        <f>'LDB-10'!$V$39</f>
        <v>#VALUE!</v>
      </c>
      <c r="K42" s="118" t="e">
        <f>'LDB-10'!$W$39</f>
        <v>#VALUE!</v>
      </c>
      <c r="L42" s="119" t="e">
        <f>'LDB-10'!$X$39</f>
        <v>#VALUE!</v>
      </c>
      <c r="M42" s="120" t="e">
        <f>GEOMEAN('LDB-10'!$S$39:'LDB-10'!$S$42)</f>
        <v>#NUM!</v>
      </c>
      <c r="N42" s="121" t="e">
        <f>GEOMEAN('LDB-10'!$T$39:'LDB-10'!$T$42)</f>
        <v>#NUM!</v>
      </c>
    </row>
    <row r="43" spans="2:14" ht="12.75" customHeight="1" x14ac:dyDescent="0.2">
      <c r="B43" s="116" t="str">
        <f>'AI-10'!$B$43</f>
        <v>vidyo1</v>
      </c>
      <c r="C43" s="117">
        <f>'RA-10'!$V$43</f>
        <v>-2.4914210043110674E-2</v>
      </c>
      <c r="D43" s="118">
        <f>'RA-10'!$W$43</f>
        <v>-1.2160100190497181E-2</v>
      </c>
      <c r="E43" s="119">
        <f>'RA-10'!$X$43</f>
        <v>-3.0195210014362428E-2</v>
      </c>
      <c r="F43" s="120">
        <f>GEOMEAN('RA-10'!$S$43:'RA-10'!$S$46)</f>
        <v>1.1601339706011939</v>
      </c>
      <c r="G43" s="121">
        <f>GEOMEAN('RA-10'!$T$43:'RA-10'!$T$46)</f>
        <v>1.1043034233746556</v>
      </c>
      <c r="I43" s="116" t="str">
        <f>'AI-10'!$B$43</f>
        <v>vidyo1</v>
      </c>
      <c r="J43" s="117" t="e">
        <f>'LDB-10'!$V$43</f>
        <v>#VALUE!</v>
      </c>
      <c r="K43" s="118" t="e">
        <f>'LDB-10'!$W$43</f>
        <v>#VALUE!</v>
      </c>
      <c r="L43" s="119" t="e">
        <f>'LDB-10'!$X$43</f>
        <v>#VALUE!</v>
      </c>
      <c r="M43" s="120" t="e">
        <f>GEOMEAN('LDB-10'!$S$43:'LDB-10'!$S$46)</f>
        <v>#NUM!</v>
      </c>
      <c r="N43" s="121" t="e">
        <f>GEOMEAN('LDB-10'!$T$43:'LDB-10'!$T$46)</f>
        <v>#NUM!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-2.2056878769063037E-2</v>
      </c>
      <c r="D44" s="124">
        <f>'RA-10'!$W$47</f>
        <v>-2.4172009090770441E-3</v>
      </c>
      <c r="E44" s="125">
        <f>'RA-10'!$X$47</f>
        <v>-3.3372208995383623E-2</v>
      </c>
      <c r="F44" s="126">
        <f>GEOMEAN('RA-10'!$S$47:'RA-10'!$S$50)</f>
        <v>1.1374722153913173</v>
      </c>
      <c r="G44" s="127">
        <f>GEOMEAN('RA-10'!$T$47:'RA-10'!$T$50)</f>
        <v>1.0989652893418587</v>
      </c>
      <c r="I44" s="122" t="str">
        <f>'AI-10'!$B$47</f>
        <v>vidyo3</v>
      </c>
      <c r="J44" s="123" t="e">
        <f>'LDB-10'!$V$47</f>
        <v>#VALUE!</v>
      </c>
      <c r="K44" s="124" t="e">
        <f>'LDB-10'!$W$47</f>
        <v>#VALUE!</v>
      </c>
      <c r="L44" s="125" t="e">
        <f>'LDB-10'!$X$47</f>
        <v>#VALUE!</v>
      </c>
      <c r="M44" s="126" t="e">
        <f>GEOMEAN('LDB-10'!$S$47:'LDB-10'!$S$50)</f>
        <v>#NUM!</v>
      </c>
      <c r="N44" s="127" t="e">
        <f>GEOMEAN('LDB-10'!$T$47:'LDB-10'!$T$50)</f>
        <v>#NUM!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 t="e">
        <f>'RA-10'!$V75</f>
        <v>#VALUE!</v>
      </c>
      <c r="D51" s="112" t="e">
        <f>'RA-10'!$W75</f>
        <v>#VALUE!</v>
      </c>
      <c r="E51" s="113" t="e">
        <f>'RA-10'!$X75</f>
        <v>#VALUE!</v>
      </c>
      <c r="F51" s="128" t="e">
        <f>'RA-10'!$S75</f>
        <v>#NUM!</v>
      </c>
      <c r="G51" s="115" t="e">
        <f>'RA-10'!$T75</f>
        <v>#NUM!</v>
      </c>
      <c r="I51" s="132" t="s">
        <v>78</v>
      </c>
      <c r="J51" s="111" t="e">
        <f>'LDB-10'!$V75</f>
        <v>#VALUE!</v>
      </c>
      <c r="K51" s="112" t="e">
        <f>'LDB-10'!$W75</f>
        <v>#VALUE!</v>
      </c>
      <c r="L51" s="113" t="e">
        <f>'LDB-10'!$X75</f>
        <v>#VALUE!</v>
      </c>
      <c r="M51" s="128" t="e">
        <f>'LDB-10'!$S75</f>
        <v>#NUM!</v>
      </c>
      <c r="N51" s="115" t="e">
        <f>'LDB-10'!$T75</f>
        <v>#NUM!</v>
      </c>
    </row>
    <row r="52" spans="2:14" ht="12.75" customHeight="1" x14ac:dyDescent="0.2">
      <c r="B52" s="133" t="s">
        <v>79</v>
      </c>
      <c r="C52" s="117">
        <f>'RA-10'!$V76</f>
        <v>-1.8806843644427584E-2</v>
      </c>
      <c r="D52" s="118">
        <f>'RA-10'!$W76</f>
        <v>-1.6832736267592435E-2</v>
      </c>
      <c r="E52" s="119">
        <f>'RA-10'!$X76</f>
        <v>-2.2485708857685388E-2</v>
      </c>
      <c r="F52" s="130">
        <f>'RA-10'!$S76</f>
        <v>1.0807396740421129</v>
      </c>
      <c r="G52" s="121">
        <f>'RA-10'!$T76</f>
        <v>1.0338122869892288</v>
      </c>
      <c r="I52" s="133" t="s">
        <v>79</v>
      </c>
      <c r="J52" s="117" t="e">
        <f>'LDB-10'!$V76</f>
        <v>#VALUE!</v>
      </c>
      <c r="K52" s="118" t="e">
        <f>'LDB-10'!$W76</f>
        <v>#VALUE!</v>
      </c>
      <c r="L52" s="119" t="e">
        <f>'LDB-10'!$X76</f>
        <v>#VALUE!</v>
      </c>
      <c r="M52" s="130" t="e">
        <f>'LDB-10'!$S76</f>
        <v>#NUM!</v>
      </c>
      <c r="N52" s="121" t="e">
        <f>'LDB-10'!$T76</f>
        <v>#NUM!</v>
      </c>
    </row>
    <row r="53" spans="2:14" ht="12.75" customHeight="1" thickBot="1" x14ac:dyDescent="0.25">
      <c r="B53" s="133" t="s">
        <v>51</v>
      </c>
      <c r="C53" s="117">
        <f>'RA-10'!$V77</f>
        <v>-1.9888054097017549E-2</v>
      </c>
      <c r="D53" s="118">
        <f>'RA-10'!$W77</f>
        <v>-3.4224330797911123E-2</v>
      </c>
      <c r="E53" s="119">
        <f>'RA-10'!$X77</f>
        <v>-2.585509730527219E-2</v>
      </c>
      <c r="F53" s="130">
        <f>'RA-10'!$S77</f>
        <v>1.1360536123112026</v>
      </c>
      <c r="G53" s="121">
        <f>'RA-10'!$T77</f>
        <v>1.0779357871028272</v>
      </c>
      <c r="I53" s="133" t="s">
        <v>80</v>
      </c>
      <c r="J53" s="117" t="e">
        <f>'LDB-10'!$V77</f>
        <v>#VALUE!</v>
      </c>
      <c r="K53" s="118" t="e">
        <f>'LDB-10'!$W77</f>
        <v>#VALUE!</v>
      </c>
      <c r="L53" s="119" t="e">
        <f>'LDB-10'!$X77</f>
        <v>#VALUE!</v>
      </c>
      <c r="M53" s="130" t="e">
        <f>'LDB-10'!$S77</f>
        <v>#NUM!</v>
      </c>
      <c r="N53" s="121" t="e">
        <f>'LDB-10'!$T77</f>
        <v>#NUM!</v>
      </c>
    </row>
    <row r="54" spans="2:14" ht="12.75" customHeight="1" thickBot="1" x14ac:dyDescent="0.25">
      <c r="B54" s="139" t="s">
        <v>37</v>
      </c>
      <c r="C54" s="138" t="e">
        <f>'RA-10'!$V80</f>
        <v>#VALUE!</v>
      </c>
      <c r="D54" s="137" t="e">
        <f>'RA-10'!$W80</f>
        <v>#VALUE!</v>
      </c>
      <c r="E54" s="136" t="e">
        <f>'RA-10'!$X80</f>
        <v>#VALUE!</v>
      </c>
      <c r="F54" s="135" t="e">
        <f>'RA-10'!$S80</f>
        <v>#NUM!</v>
      </c>
      <c r="G54" s="134" t="e">
        <f>'RA-10'!$T80</f>
        <v>#NUM!</v>
      </c>
      <c r="I54" s="139" t="s">
        <v>37</v>
      </c>
      <c r="J54" s="138" t="e">
        <f>'LDB-10'!$V80</f>
        <v>#VALUE!</v>
      </c>
      <c r="K54" s="137" t="e">
        <f>'LDB-10'!$W80</f>
        <v>#VALUE!</v>
      </c>
      <c r="L54" s="136" t="e">
        <f>'LDB-10'!$X80</f>
        <v>#VALUE!</v>
      </c>
      <c r="M54" s="135" t="e">
        <f>'LDB-10'!$S80</f>
        <v>#NUM!</v>
      </c>
      <c r="N54" s="134" t="e">
        <f>'LDB-10'!$T80</f>
        <v>#NUM!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I22" sqref="I22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HPM7.0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 t="e">
        <f>'AI-10'!V75</f>
        <v>#VALUE!</v>
      </c>
      <c r="D5" s="61" t="e">
        <f>'AI-10'!W75</f>
        <v>#VALUE!</v>
      </c>
      <c r="E5" s="62" t="e">
        <f>'AI-10'!X75</f>
        <v>#VALUE!</v>
      </c>
      <c r="F5" s="63" t="e">
        <f>'AI-10'!S75</f>
        <v>#NUM!</v>
      </c>
      <c r="G5" s="64" t="e">
        <f>'AI-10'!T75</f>
        <v>#NUM!</v>
      </c>
      <c r="H5" s="25"/>
      <c r="J5" s="28"/>
    </row>
    <row r="6" spans="2:10" ht="12.75" customHeight="1" x14ac:dyDescent="0.2">
      <c r="B6" s="94" t="s">
        <v>91</v>
      </c>
      <c r="C6" s="65" t="e">
        <f>'AI-10'!V76</f>
        <v>#VALUE!</v>
      </c>
      <c r="D6" s="66" t="e">
        <f>'AI-10'!W76</f>
        <v>#VALUE!</v>
      </c>
      <c r="E6" s="67" t="e">
        <f>'AI-10'!X76</f>
        <v>#VALUE!</v>
      </c>
      <c r="F6" s="68" t="e">
        <f>'AI-10'!S76</f>
        <v>#NUM!</v>
      </c>
      <c r="G6" s="69" t="e">
        <f>'AI-10'!T76</f>
        <v>#NUM!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-4.3648389619085903E-3</v>
      </c>
      <c r="D7" s="66">
        <f>'AI-10'!W77</f>
        <v>-5.5912227393194458E-3</v>
      </c>
      <c r="E7" s="67">
        <f>'AI-10'!X77</f>
        <v>-1.526869536328973E-2</v>
      </c>
      <c r="F7" s="68">
        <f>'AI-10'!S77</f>
        <v>1.0213440455116944</v>
      </c>
      <c r="G7" s="69">
        <f>'AI-10'!T77</f>
        <v>0.99507819724288726</v>
      </c>
      <c r="H7" s="25"/>
    </row>
    <row r="8" spans="2:10" s="20" customFormat="1" ht="12.75" customHeight="1" thickBot="1" x14ac:dyDescent="0.25">
      <c r="B8" s="81" t="s">
        <v>37</v>
      </c>
      <c r="C8" s="60" t="e">
        <f>'AI-10'!V80</f>
        <v>#VALUE!</v>
      </c>
      <c r="D8" s="61" t="e">
        <f>'AI-10'!W80</f>
        <v>#VALUE!</v>
      </c>
      <c r="E8" s="61" t="e">
        <f>'AI-10'!X80</f>
        <v>#VALUE!</v>
      </c>
      <c r="F8" s="100" t="e">
        <f>'AI-10'!S80</f>
        <v>#NUM!</v>
      </c>
      <c r="G8" s="101" t="e">
        <f>'AI-10'!T80</f>
        <v>#NUM!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HPM7.0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 t="e">
        <f>'RA-10'!V75</f>
        <v>#VALUE!</v>
      </c>
      <c r="D15" s="61" t="e">
        <f>'RA-10'!W75</f>
        <v>#VALUE!</v>
      </c>
      <c r="E15" s="62" t="e">
        <f>'RA-10'!X75</f>
        <v>#VALUE!</v>
      </c>
      <c r="F15" s="63" t="e">
        <f>'RA-10'!S75</f>
        <v>#NUM!</v>
      </c>
      <c r="G15" s="64" t="e">
        <f>'RA-10'!T75</f>
        <v>#NUM!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-1.8806843644427584E-2</v>
      </c>
      <c r="D16" s="66">
        <f>'RA-10'!W76</f>
        <v>-1.6832736267592435E-2</v>
      </c>
      <c r="E16" s="67">
        <f>'RA-10'!X76</f>
        <v>-2.2485708857685388E-2</v>
      </c>
      <c r="F16" s="68">
        <f>'RA-10'!S76</f>
        <v>1.0807396740421129</v>
      </c>
      <c r="G16" s="69">
        <f>'RA-10'!T76</f>
        <v>1.0338122869892288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-1.9888054097017549E-2</v>
      </c>
      <c r="D17" s="66">
        <f>'RA-10'!W77</f>
        <v>-3.4224330797911123E-2</v>
      </c>
      <c r="E17" s="67">
        <f>'RA-10'!X77</f>
        <v>-2.585509730527219E-2</v>
      </c>
      <c r="F17" s="68">
        <f>'RA-10'!S77</f>
        <v>1.1360536123112026</v>
      </c>
      <c r="G17" s="69">
        <f>'RA-10'!T77</f>
        <v>1.0779357871028272</v>
      </c>
      <c r="H17" s="25"/>
    </row>
    <row r="18" spans="2:9" ht="12.75" customHeight="1" thickBot="1" x14ac:dyDescent="0.25">
      <c r="B18" s="81" t="s">
        <v>37</v>
      </c>
      <c r="C18" s="60" t="e">
        <f>'RA-10'!V80</f>
        <v>#VALUE!</v>
      </c>
      <c r="D18" s="61" t="e">
        <f>'RA-10'!W80</f>
        <v>#VALUE!</v>
      </c>
      <c r="E18" s="61" t="e">
        <f>'RA-10'!X80</f>
        <v>#VALUE!</v>
      </c>
      <c r="F18" s="100" t="e">
        <f>'RA-10'!S80</f>
        <v>#NUM!</v>
      </c>
      <c r="G18" s="101" t="e">
        <f>'RA-10'!T80</f>
        <v>#NUM!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HPM7.0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 t="e">
        <f>'LDB-10'!V75</f>
        <v>#VALUE!</v>
      </c>
      <c r="D25" s="61" t="e">
        <f>'LDB-10'!W75</f>
        <v>#VALUE!</v>
      </c>
      <c r="E25" s="62" t="e">
        <f>'LDB-10'!X75</f>
        <v>#VALUE!</v>
      </c>
      <c r="F25" s="63" t="e">
        <f>'LDB-10'!S75</f>
        <v>#NUM!</v>
      </c>
      <c r="G25" s="64" t="e">
        <f>'LDB-10'!T75</f>
        <v>#NUM!</v>
      </c>
      <c r="H25" s="25"/>
      <c r="I25" s="28"/>
    </row>
    <row r="26" spans="2:9" ht="12.75" customHeight="1" x14ac:dyDescent="0.2">
      <c r="B26" s="94" t="s">
        <v>91</v>
      </c>
      <c r="C26" s="65" t="e">
        <f>'LDB-10'!V76</f>
        <v>#VALUE!</v>
      </c>
      <c r="D26" s="66" t="e">
        <f>'LDB-10'!W76</f>
        <v>#VALUE!</v>
      </c>
      <c r="E26" s="67" t="e">
        <f>'LDB-10'!X76</f>
        <v>#VALUE!</v>
      </c>
      <c r="F26" s="68" t="e">
        <f>'LDB-10'!S76</f>
        <v>#NUM!</v>
      </c>
      <c r="G26" s="69" t="e">
        <f>'LDB-10'!T76</f>
        <v>#NUM!</v>
      </c>
      <c r="H26" s="25"/>
    </row>
    <row r="27" spans="2:9" ht="12.75" customHeight="1" thickBot="1" x14ac:dyDescent="0.25">
      <c r="B27" s="95" t="s">
        <v>93</v>
      </c>
      <c r="C27" s="65" t="e">
        <f>'LDB-10'!V77</f>
        <v>#VALUE!</v>
      </c>
      <c r="D27" s="66" t="e">
        <f>'LDB-10'!W77</f>
        <v>#VALUE!</v>
      </c>
      <c r="E27" s="67" t="e">
        <f>'LDB-10'!X77</f>
        <v>#VALUE!</v>
      </c>
      <c r="F27" s="68" t="e">
        <f>'LDB-10'!S77</f>
        <v>#NUM!</v>
      </c>
      <c r="G27" s="69" t="e">
        <f>'LDB-10'!T77</f>
        <v>#NUM!</v>
      </c>
      <c r="H27" s="25"/>
      <c r="I27" s="28"/>
    </row>
    <row r="28" spans="2:9" ht="12.75" customHeight="1" thickBot="1" x14ac:dyDescent="0.25">
      <c r="B28" s="81" t="s">
        <v>37</v>
      </c>
      <c r="C28" s="60" t="e">
        <f>'LDB-10'!V80</f>
        <v>#VALUE!</v>
      </c>
      <c r="D28" s="61" t="e">
        <f>'LDB-10'!W80</f>
        <v>#VALUE!</v>
      </c>
      <c r="E28" s="61" t="e">
        <f>'LDB-10'!X80</f>
        <v>#VALUE!</v>
      </c>
      <c r="F28" s="100" t="e">
        <f>'LDB-10'!S80</f>
        <v>#NUM!</v>
      </c>
      <c r="G28" s="101" t="e">
        <f>'LDB-10'!T80</f>
        <v>#NUM!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HPM7.0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L59" sqref="L5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77468.639999999999</v>
      </c>
      <c r="E3" s="13">
        <f>Reference!C1</f>
        <v>40.793700000000001</v>
      </c>
      <c r="F3" s="13">
        <f>Reference!D1</f>
        <v>49.146700000000003</v>
      </c>
      <c r="G3" s="13">
        <f>Reference!E1</f>
        <v>47.661900000000003</v>
      </c>
      <c r="H3" s="13">
        <f>Reference!F1</f>
        <v>92922.741999999998</v>
      </c>
      <c r="I3" s="13">
        <f>Reference!G1</f>
        <v>27.289000000000001</v>
      </c>
      <c r="J3" s="14">
        <f>H3/3600</f>
        <v>25.811872777777776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3">
        <f>P3/3600</f>
        <v>0</v>
      </c>
      <c r="S3" s="12">
        <f>P3/H3</f>
        <v>0</v>
      </c>
      <c r="T3" s="13">
        <f>Q3/I3</f>
        <v>0</v>
      </c>
      <c r="U3" s="90"/>
      <c r="V3" s="42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41971.342700000001</v>
      </c>
      <c r="E4" s="18">
        <f>Reference!C2</f>
        <v>40.147100000000002</v>
      </c>
      <c r="F4" s="18">
        <f>Reference!D2</f>
        <v>48.341500000000003</v>
      </c>
      <c r="G4" s="18">
        <f>Reference!E2</f>
        <v>46.534700000000001</v>
      </c>
      <c r="H4" s="18">
        <f>Reference!F2</f>
        <v>50555.656000000003</v>
      </c>
      <c r="I4" s="18">
        <f>Reference!G2</f>
        <v>24.396999999999998</v>
      </c>
      <c r="J4" s="19">
        <f t="shared" ref="J4:J14" si="0">H4/3600</f>
        <v>14.043237777777778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8">
        <f t="shared" ref="R4:R14" si="1">P4/3600</f>
        <v>0</v>
      </c>
      <c r="S4" s="17">
        <f t="shared" ref="S4:T14" si="2">P4/H4</f>
        <v>0</v>
      </c>
      <c r="T4" s="18">
        <f t="shared" si="2"/>
        <v>0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25114.884300000002</v>
      </c>
      <c r="E5" s="18">
        <f>Reference!C3</f>
        <v>39.413200000000003</v>
      </c>
      <c r="F5" s="18">
        <f>Reference!D3</f>
        <v>47.335000000000001</v>
      </c>
      <c r="G5" s="18">
        <f>Reference!E3</f>
        <v>45.221299999999999</v>
      </c>
      <c r="H5" s="18">
        <f>Reference!F3</f>
        <v>29778.585999999999</v>
      </c>
      <c r="I5" s="18">
        <f>Reference!G3</f>
        <v>22.422999999999998</v>
      </c>
      <c r="J5" s="19">
        <f t="shared" si="0"/>
        <v>8.2718294444444442</v>
      </c>
      <c r="L5" s="17">
        <f>Test!B3</f>
        <v>25032.570800000001</v>
      </c>
      <c r="M5" s="18">
        <f>Test!C3</f>
        <v>39.418100000000003</v>
      </c>
      <c r="N5" s="18">
        <f>Test!D3</f>
        <v>47.363900000000001</v>
      </c>
      <c r="O5" s="18">
        <f>Test!E3</f>
        <v>45.252200000000002</v>
      </c>
      <c r="P5" s="18">
        <f>Test!F3</f>
        <v>30045.103999999999</v>
      </c>
      <c r="Q5" s="18">
        <f>Test!G3</f>
        <v>22.334</v>
      </c>
      <c r="R5" s="18">
        <f t="shared" si="1"/>
        <v>8.3458622222222214</v>
      </c>
      <c r="S5" s="17">
        <f t="shared" si="2"/>
        <v>1.0089499884245678</v>
      </c>
      <c r="T5" s="18">
        <f t="shared" si="2"/>
        <v>0.99603086116933515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14298.7978</v>
      </c>
      <c r="E6" s="23">
        <f>Reference!C4</f>
        <v>38.179000000000002</v>
      </c>
      <c r="F6" s="23">
        <f>Reference!D4</f>
        <v>45.811900000000001</v>
      </c>
      <c r="G6" s="23">
        <f>Reference!E4</f>
        <v>43.398099999999999</v>
      </c>
      <c r="H6" s="23">
        <f>Reference!F4</f>
        <v>16531.418000000001</v>
      </c>
      <c r="I6" s="23">
        <f>Reference!G4</f>
        <v>20.443000000000001</v>
      </c>
      <c r="J6" s="24">
        <f t="shared" si="0"/>
        <v>4.5920605555555563</v>
      </c>
      <c r="L6" s="22">
        <f>Test!B4</f>
        <v>14265.6389</v>
      </c>
      <c r="M6" s="23">
        <f>Test!C4</f>
        <v>38.194800000000001</v>
      </c>
      <c r="N6" s="23">
        <f>Test!D4</f>
        <v>45.863999999999997</v>
      </c>
      <c r="O6" s="23">
        <f>Test!E4</f>
        <v>43.448500000000003</v>
      </c>
      <c r="P6" s="23">
        <f>Test!F4</f>
        <v>16253.178</v>
      </c>
      <c r="Q6" s="23">
        <f>Test!G4</f>
        <v>20.765999999999998</v>
      </c>
      <c r="R6" s="23">
        <f t="shared" si="1"/>
        <v>4.5147716666666664</v>
      </c>
      <c r="S6" s="17">
        <f t="shared" si="2"/>
        <v>0.98316901792695577</v>
      </c>
      <c r="T6" s="18">
        <f t="shared" si="2"/>
        <v>1.0158000293498997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328479.86320000002</v>
      </c>
      <c r="E7" s="13">
        <f>Reference!C5</f>
        <v>44.629600000000003</v>
      </c>
      <c r="F7" s="13">
        <f>Reference!D5</f>
        <v>38.904499999999999</v>
      </c>
      <c r="G7" s="13">
        <f>Reference!E5</f>
        <v>39.524799999999999</v>
      </c>
      <c r="H7" s="13">
        <f>Reference!F5</f>
        <v>143018.31200000001</v>
      </c>
      <c r="I7" s="13">
        <f>Reference!G5</f>
        <v>40.298999999999999</v>
      </c>
      <c r="J7" s="14">
        <f t="shared" si="0"/>
        <v>39.727308888888892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3">
        <f t="shared" si="1"/>
        <v>0</v>
      </c>
      <c r="S7" s="17">
        <f t="shared" si="2"/>
        <v>0</v>
      </c>
      <c r="T7" s="18">
        <f t="shared" si="2"/>
        <v>0</v>
      </c>
      <c r="U7" s="91"/>
      <c r="V7" s="42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Reference!B6</f>
        <v>209621.67370000001</v>
      </c>
      <c r="E8" s="18">
        <f>Reference!C6</f>
        <v>41.862200000000001</v>
      </c>
      <c r="F8" s="18">
        <f>Reference!D6</f>
        <v>36.310499999999998</v>
      </c>
      <c r="G8" s="18">
        <f>Reference!E6</f>
        <v>37.2151</v>
      </c>
      <c r="H8" s="18">
        <f>Reference!F6</f>
        <v>111816.133</v>
      </c>
      <c r="I8" s="18">
        <f>Reference!G6</f>
        <v>35.762</v>
      </c>
      <c r="J8" s="19">
        <f t="shared" si="0"/>
        <v>31.060036944444445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8">
        <f t="shared" si="1"/>
        <v>0</v>
      </c>
      <c r="S8" s="17">
        <f t="shared" si="2"/>
        <v>0</v>
      </c>
      <c r="T8" s="18">
        <f t="shared" si="2"/>
        <v>0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119603.81050000001</v>
      </c>
      <c r="E9" s="18">
        <f>Reference!C7</f>
        <v>38.618099999999998</v>
      </c>
      <c r="F9" s="18">
        <f>Reference!D7</f>
        <v>33.999400000000001</v>
      </c>
      <c r="G9" s="18">
        <f>Reference!E7</f>
        <v>35.127699999999997</v>
      </c>
      <c r="H9" s="18">
        <f>Reference!F7</f>
        <v>82318.593999999997</v>
      </c>
      <c r="I9" s="18">
        <f>Reference!G7</f>
        <v>31.253</v>
      </c>
      <c r="J9" s="19">
        <f t="shared" si="0"/>
        <v>22.866276111111109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8">
        <f t="shared" si="1"/>
        <v>0</v>
      </c>
      <c r="S9" s="17">
        <f t="shared" si="2"/>
        <v>0</v>
      </c>
      <c r="T9" s="18">
        <f t="shared" si="2"/>
        <v>0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56068.705300000001</v>
      </c>
      <c r="E10" s="23">
        <f>Reference!C8</f>
        <v>35.150100000000002</v>
      </c>
      <c r="F10" s="23">
        <f>Reference!D8</f>
        <v>31.624300000000002</v>
      </c>
      <c r="G10" s="23">
        <f>Reference!E8</f>
        <v>33.076599999999999</v>
      </c>
      <c r="H10" s="23">
        <f>Reference!F8</f>
        <v>53090.434000000001</v>
      </c>
      <c r="I10" s="23">
        <f>Reference!G8</f>
        <v>25.483000000000001</v>
      </c>
      <c r="J10" s="24">
        <f t="shared" si="0"/>
        <v>14.747342777777778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3">
        <f t="shared" si="1"/>
        <v>0</v>
      </c>
      <c r="S10" s="17">
        <f t="shared" si="2"/>
        <v>0</v>
      </c>
      <c r="T10" s="18">
        <f t="shared" si="2"/>
        <v>0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125895.8842</v>
      </c>
      <c r="E11" s="13">
        <f>Reference!C9</f>
        <v>41.520800000000001</v>
      </c>
      <c r="F11" s="13">
        <f>Reference!D9</f>
        <v>43.853200000000001</v>
      </c>
      <c r="G11" s="13">
        <f>Reference!E9</f>
        <v>42.7712</v>
      </c>
      <c r="H11" s="13">
        <f>Reference!F9</f>
        <v>146157.609</v>
      </c>
      <c r="I11" s="13">
        <f>Reference!G9</f>
        <v>33.673999999999999</v>
      </c>
      <c r="J11" s="14">
        <f t="shared" si="0"/>
        <v>40.599335833333335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3">
        <f t="shared" si="1"/>
        <v>0</v>
      </c>
      <c r="S11" s="17">
        <f t="shared" si="2"/>
        <v>0</v>
      </c>
      <c r="T11" s="18">
        <f t="shared" si="2"/>
        <v>0</v>
      </c>
      <c r="U11" s="91"/>
      <c r="V11" s="42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Reference!B10</f>
        <v>56504.842100000002</v>
      </c>
      <c r="E12" s="18">
        <f>Reference!C10</f>
        <v>38.837299999999999</v>
      </c>
      <c r="F12" s="18">
        <f>Reference!D10</f>
        <v>41.228700000000003</v>
      </c>
      <c r="G12" s="18">
        <f>Reference!E10</f>
        <v>41.5717</v>
      </c>
      <c r="H12" s="18">
        <f>Reference!F10</f>
        <v>86702.891000000003</v>
      </c>
      <c r="I12" s="18">
        <f>Reference!G10</f>
        <v>26.335000000000001</v>
      </c>
      <c r="J12" s="19">
        <f t="shared" si="0"/>
        <v>24.08413638888889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8">
        <f t="shared" si="1"/>
        <v>0</v>
      </c>
      <c r="S12" s="17">
        <f t="shared" si="2"/>
        <v>0</v>
      </c>
      <c r="T12" s="18">
        <f t="shared" si="2"/>
        <v>0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25653.599999999999</v>
      </c>
      <c r="E13" s="18">
        <f>Reference!C11</f>
        <v>37.276600000000002</v>
      </c>
      <c r="F13" s="18">
        <f>Reference!D11</f>
        <v>38.892200000000003</v>
      </c>
      <c r="G13" s="18">
        <f>Reference!E11</f>
        <v>40.398699999999998</v>
      </c>
      <c r="H13" s="18">
        <f>Reference!F11</f>
        <v>47213.351999999999</v>
      </c>
      <c r="I13" s="18">
        <f>Reference!G11</f>
        <v>22.13</v>
      </c>
      <c r="J13" s="19">
        <f t="shared" si="0"/>
        <v>13.11482</v>
      </c>
      <c r="L13" s="17">
        <f>Test!B11</f>
        <v>25617</v>
      </c>
      <c r="M13" s="18">
        <f>Test!C11</f>
        <v>37.287500000000001</v>
      </c>
      <c r="N13" s="18">
        <f>Test!D11</f>
        <v>38.915599999999998</v>
      </c>
      <c r="O13" s="18">
        <f>Test!E11</f>
        <v>40.426299999999998</v>
      </c>
      <c r="P13" s="18">
        <f>Test!F11</f>
        <v>46443.343999999997</v>
      </c>
      <c r="Q13" s="18">
        <f>Test!G11</f>
        <v>21.992000000000001</v>
      </c>
      <c r="R13" s="18">
        <f t="shared" si="1"/>
        <v>12.900928888888888</v>
      </c>
      <c r="S13" s="17">
        <f t="shared" si="2"/>
        <v>0.98369088473108202</v>
      </c>
      <c r="T13" s="18">
        <f t="shared" si="2"/>
        <v>0.99376412110257573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12373.2</v>
      </c>
      <c r="E14" s="23">
        <f>Reference!C12</f>
        <v>35.881599999999999</v>
      </c>
      <c r="F14" s="23">
        <f>Reference!D12</f>
        <v>36.166899999999998</v>
      </c>
      <c r="G14" s="23">
        <f>Reference!E12</f>
        <v>38.837000000000003</v>
      </c>
      <c r="H14" s="23">
        <f>Reference!F12</f>
        <v>25874.901999999998</v>
      </c>
      <c r="I14" s="23">
        <f>Reference!G12</f>
        <v>19.013999999999999</v>
      </c>
      <c r="J14" s="24">
        <f t="shared" si="0"/>
        <v>7.1874727777777769</v>
      </c>
      <c r="L14" s="22">
        <f>Test!B12</f>
        <v>12382.5663</v>
      </c>
      <c r="M14" s="23">
        <f>Test!C12</f>
        <v>35.897799999999997</v>
      </c>
      <c r="N14" s="23">
        <f>Test!D12</f>
        <v>36.217399999999998</v>
      </c>
      <c r="O14" s="23">
        <f>Test!E12</f>
        <v>38.920299999999997</v>
      </c>
      <c r="P14" s="23">
        <f>Test!F12</f>
        <v>25681.773000000001</v>
      </c>
      <c r="Q14" s="23">
        <f>Test!G12</f>
        <v>19.045000000000002</v>
      </c>
      <c r="R14" s="23">
        <f t="shared" si="1"/>
        <v>7.1338258333333338</v>
      </c>
      <c r="S14" s="17">
        <f t="shared" si="2"/>
        <v>0.99253604902542247</v>
      </c>
      <c r="T14" s="18">
        <f t="shared" si="2"/>
        <v>1.0016303776164932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179051.9621</v>
      </c>
      <c r="E15" s="13">
        <f>Reference!C13</f>
        <v>38.596600000000002</v>
      </c>
      <c r="F15" s="13">
        <f>Reference!D13</f>
        <v>45.4893</v>
      </c>
      <c r="G15" s="13">
        <f>Reference!E13</f>
        <v>43.287100000000002</v>
      </c>
      <c r="H15" s="13">
        <f>Reference!F13</f>
        <v>170877</v>
      </c>
      <c r="I15" s="13">
        <f>Reference!G13</f>
        <v>33.423999999999999</v>
      </c>
      <c r="J15" s="14">
        <f>H15/3600</f>
        <v>47.465833333333336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3">
        <f>P15/3600</f>
        <v>0</v>
      </c>
      <c r="S15" s="17">
        <f>P15/H15</f>
        <v>0</v>
      </c>
      <c r="T15" s="18">
        <f>Q15/I15</f>
        <v>0</v>
      </c>
      <c r="U15" s="91"/>
      <c r="V15" s="42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Reference!B14</f>
        <v>87676.458899999998</v>
      </c>
      <c r="E16" s="18">
        <f>Reference!C14</f>
        <v>37.658799999999999</v>
      </c>
      <c r="F16" s="18">
        <f>Reference!D14</f>
        <v>44.514099999999999</v>
      </c>
      <c r="G16" s="18">
        <f>Reference!E14</f>
        <v>42.114100000000001</v>
      </c>
      <c r="H16" s="18">
        <f>Reference!F14</f>
        <v>95987.031000000003</v>
      </c>
      <c r="I16" s="18">
        <f>Reference!G14</f>
        <v>27.373999999999999</v>
      </c>
      <c r="J16" s="19">
        <f t="shared" ref="J16:J26" si="3">H16/3600</f>
        <v>26.663064166666668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8">
        <f t="shared" ref="R16:R26" si="4">P16/3600</f>
        <v>0</v>
      </c>
      <c r="S16" s="17">
        <f t="shared" ref="S16:S26" si="5">P16/H16</f>
        <v>0</v>
      </c>
      <c r="T16" s="18">
        <f t="shared" ref="T16:T26" si="6">Q16/I16</f>
        <v>0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50328.164199999999</v>
      </c>
      <c r="E17" s="18">
        <f>Reference!C15</f>
        <v>36.726300000000002</v>
      </c>
      <c r="F17" s="18">
        <f>Reference!D15</f>
        <v>43.419499999999999</v>
      </c>
      <c r="G17" s="18">
        <f>Reference!E15</f>
        <v>40.876399999999997</v>
      </c>
      <c r="H17" s="18">
        <f>Reference!F15</f>
        <v>57506.66</v>
      </c>
      <c r="I17" s="18">
        <f>Reference!G15</f>
        <v>24.382999999999999</v>
      </c>
      <c r="J17" s="19">
        <f t="shared" si="3"/>
        <v>15.974072222222222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8">
        <f t="shared" si="4"/>
        <v>0</v>
      </c>
      <c r="S17" s="17">
        <f t="shared" si="5"/>
        <v>0</v>
      </c>
      <c r="T17" s="18">
        <f t="shared" si="6"/>
        <v>0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26478.4421</v>
      </c>
      <c r="E18" s="23">
        <f>Reference!C16</f>
        <v>35.212899999999998</v>
      </c>
      <c r="F18" s="23">
        <f>Reference!D16</f>
        <v>41.898099999999999</v>
      </c>
      <c r="G18" s="23">
        <f>Reference!E16</f>
        <v>39.448300000000003</v>
      </c>
      <c r="H18" s="23">
        <f>Reference!F16</f>
        <v>33296.769999999997</v>
      </c>
      <c r="I18" s="23">
        <f>Reference!G16</f>
        <v>20.475000000000001</v>
      </c>
      <c r="J18" s="24">
        <f t="shared" si="3"/>
        <v>9.249102777777777</v>
      </c>
      <c r="L18" s="22">
        <f>Test!B16</f>
        <v>26433.1705</v>
      </c>
      <c r="M18" s="23">
        <f>Test!C16</f>
        <v>35.2258</v>
      </c>
      <c r="N18" s="23">
        <f>Test!D16</f>
        <v>42.01</v>
      </c>
      <c r="O18" s="23">
        <f>Test!E16</f>
        <v>39.510899999999999</v>
      </c>
      <c r="P18" s="23">
        <f>Test!F16</f>
        <v>33985.370999999999</v>
      </c>
      <c r="Q18" s="23">
        <f>Test!G16</f>
        <v>20.997</v>
      </c>
      <c r="R18" s="23">
        <f t="shared" si="4"/>
        <v>9.4403808333333323</v>
      </c>
      <c r="S18" s="17">
        <f t="shared" si="5"/>
        <v>1.020680714675928</v>
      </c>
      <c r="T18" s="18">
        <f t="shared" si="6"/>
        <v>1.0254945054945055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68369.041299999997</v>
      </c>
      <c r="E19" s="13">
        <f>Reference!C17</f>
        <v>39.539400000000001</v>
      </c>
      <c r="F19" s="13">
        <f>Reference!D17</f>
        <v>40.374000000000002</v>
      </c>
      <c r="G19" s="13">
        <f>Reference!E17</f>
        <v>43.317</v>
      </c>
      <c r="H19" s="13">
        <f>Reference!F17</f>
        <v>83359.835999999996</v>
      </c>
      <c r="I19" s="13">
        <f>Reference!G17</f>
        <v>17.007999999999999</v>
      </c>
      <c r="J19" s="14">
        <f t="shared" si="3"/>
        <v>23.15551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3">
        <f t="shared" si="4"/>
        <v>0</v>
      </c>
      <c r="S19" s="12">
        <f t="shared" si="5"/>
        <v>0</v>
      </c>
      <c r="T19" s="13">
        <f t="shared" si="6"/>
        <v>0</v>
      </c>
      <c r="U19" s="90"/>
      <c r="V19" s="42" t="e">
        <f>bdrate($D19:$D22,E19:E22,$L19:$L22,M19:M22)</f>
        <v>#VALUE!</v>
      </c>
      <c r="W19" s="42" t="e">
        <f>bdrate($D19:$D22,F19:F22,$L19:$L22,N19:N22)</f>
        <v>#VALUE!</v>
      </c>
      <c r="X19" s="42" t="e">
        <f>bdrate($D19:$D22,G19:G22,$L19:$L22,O19:O22)</f>
        <v>#VALUE!</v>
      </c>
      <c r="Y19" s="40" t="e">
        <f>bdrateOld($D19:$D22,E19:E22,$L19:$L22,M19:M22)</f>
        <v>#VALUE!</v>
      </c>
      <c r="Z19" s="44" t="e">
        <f>bdrateOld($D19:$D22,F19:F22,$L19:$L22,N19:N22)</f>
        <v>#VALUE!</v>
      </c>
      <c r="AA19" s="45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40843.371400000004</v>
      </c>
      <c r="E20" s="18">
        <f>Reference!C18</f>
        <v>37.8947</v>
      </c>
      <c r="F20" s="18">
        <f>Reference!D18</f>
        <v>39.331099999999999</v>
      </c>
      <c r="G20" s="18">
        <f>Reference!E18</f>
        <v>41.833599999999997</v>
      </c>
      <c r="H20" s="18">
        <f>Reference!F18</f>
        <v>56678.504000000001</v>
      </c>
      <c r="I20" s="18">
        <f>Reference!G18</f>
        <v>14.419</v>
      </c>
      <c r="J20" s="19">
        <f t="shared" si="3"/>
        <v>15.74402888888889</v>
      </c>
      <c r="L20" s="17">
        <f>Test!B18</f>
        <v>40723.352400000003</v>
      </c>
      <c r="M20" s="18">
        <f>Test!C18</f>
        <v>37.901800000000001</v>
      </c>
      <c r="N20" s="18">
        <f>Test!D18</f>
        <v>39.331499999999998</v>
      </c>
      <c r="O20" s="18">
        <f>Test!E18</f>
        <v>41.799199999999999</v>
      </c>
      <c r="P20" s="18">
        <f>Test!F18</f>
        <v>56751.737999999998</v>
      </c>
      <c r="Q20" s="18">
        <f>Test!G18</f>
        <v>13.68</v>
      </c>
      <c r="R20" s="18">
        <f t="shared" si="4"/>
        <v>15.764371666666666</v>
      </c>
      <c r="S20" s="17">
        <f t="shared" si="5"/>
        <v>1.0012920947948802</v>
      </c>
      <c r="T20" s="18">
        <f t="shared" si="6"/>
        <v>0.94874817948540113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23511.834900000002</v>
      </c>
      <c r="E21" s="18">
        <f>Reference!C19</f>
        <v>35.969099999999997</v>
      </c>
      <c r="F21" s="18">
        <f>Reference!D19</f>
        <v>38.389400000000002</v>
      </c>
      <c r="G21" s="18">
        <f>Reference!E19</f>
        <v>40.364100000000001</v>
      </c>
      <c r="H21" s="18">
        <f>Reference!F19</f>
        <v>37884.940999999999</v>
      </c>
      <c r="I21" s="18">
        <f>Reference!G19</f>
        <v>11.856999999999999</v>
      </c>
      <c r="J21" s="19">
        <f t="shared" si="3"/>
        <v>10.523594722222223</v>
      </c>
      <c r="L21" s="17">
        <f>Test!B19</f>
        <v>23427.676200000002</v>
      </c>
      <c r="M21" s="18">
        <f>Test!C19</f>
        <v>35.976500000000001</v>
      </c>
      <c r="N21" s="18">
        <f>Test!D19</f>
        <v>38.403700000000001</v>
      </c>
      <c r="O21" s="18">
        <f>Test!E19</f>
        <v>40.352200000000003</v>
      </c>
      <c r="P21" s="18">
        <f>Test!F19</f>
        <v>37686.805</v>
      </c>
      <c r="Q21" s="18">
        <f>Test!G19</f>
        <v>11.679</v>
      </c>
      <c r="R21" s="18">
        <f t="shared" si="4"/>
        <v>10.468556944444444</v>
      </c>
      <c r="S21" s="17">
        <f t="shared" si="5"/>
        <v>0.9947700591641413</v>
      </c>
      <c r="T21" s="18">
        <f t="shared" si="6"/>
        <v>0.9849877709369993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11974.450800000001</v>
      </c>
      <c r="E22" s="23">
        <f>Reference!C20</f>
        <v>33.4908</v>
      </c>
      <c r="F22" s="23">
        <f>Reference!D20</f>
        <v>37.150300000000001</v>
      </c>
      <c r="G22" s="23">
        <f>Reference!E20</f>
        <v>38.6053</v>
      </c>
      <c r="H22" s="23">
        <f>Reference!F20</f>
        <v>23497.686000000002</v>
      </c>
      <c r="I22" s="23">
        <f>Reference!G20</f>
        <v>10.122</v>
      </c>
      <c r="J22" s="24">
        <f t="shared" si="3"/>
        <v>6.5271350000000004</v>
      </c>
      <c r="L22" s="22">
        <f>Test!B20</f>
        <v>11941.644399999999</v>
      </c>
      <c r="M22" s="23">
        <f>Test!C20</f>
        <v>33.501899999999999</v>
      </c>
      <c r="N22" s="23">
        <f>Test!D20</f>
        <v>37.166899999999998</v>
      </c>
      <c r="O22" s="23">
        <f>Test!E20</f>
        <v>38.611499999999999</v>
      </c>
      <c r="P22" s="23">
        <f>Test!F20</f>
        <v>23474.697</v>
      </c>
      <c r="Q22" s="23">
        <f>Test!G20</f>
        <v>10.048</v>
      </c>
      <c r="R22" s="23">
        <f t="shared" si="4"/>
        <v>6.5207491666666666</v>
      </c>
      <c r="S22" s="17">
        <f t="shared" si="5"/>
        <v>0.99902164834443696</v>
      </c>
      <c r="T22" s="18">
        <f t="shared" si="6"/>
        <v>0.99268919185931637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43090.196799999998</v>
      </c>
      <c r="E23" s="13">
        <f>Reference!C21</f>
        <v>40.181399999999996</v>
      </c>
      <c r="F23" s="13">
        <f>Reference!D21</f>
        <v>44.090800000000002</v>
      </c>
      <c r="G23" s="13">
        <f>Reference!E21</f>
        <v>45.5242</v>
      </c>
      <c r="H23" s="13">
        <f>Reference!F21</f>
        <v>64073.004000000001</v>
      </c>
      <c r="I23" s="13">
        <f>Reference!G21</f>
        <v>14.250999999999999</v>
      </c>
      <c r="J23" s="14">
        <f t="shared" si="3"/>
        <v>17.798056666666668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3">
        <f t="shared" si="4"/>
        <v>0</v>
      </c>
      <c r="S23" s="17">
        <f t="shared" si="5"/>
        <v>0</v>
      </c>
      <c r="T23" s="18">
        <f t="shared" si="6"/>
        <v>0</v>
      </c>
      <c r="U23" s="91"/>
      <c r="V23" s="42" t="e">
        <f>bdrate($D23:$D26,E23:E26,$L23:$L26,M23:M26)</f>
        <v>#VALUE!</v>
      </c>
      <c r="W23" s="42" t="e">
        <f>bdrate($D23:$D26,F23:F26,$L23:$L26,N23:N26)</f>
        <v>#VALUE!</v>
      </c>
      <c r="X23" s="42" t="e">
        <f>bdrate($D23:$D26,G23:G26,$L23:$L26,O23:O26)</f>
        <v>#VALUE!</v>
      </c>
      <c r="Y23" s="40" t="e">
        <f>bdrateOld($D23:$D26,E23:E26,$L23:$L26,M23:M26)</f>
        <v>#VALUE!</v>
      </c>
      <c r="Z23" s="44" t="e">
        <f>bdrateOld($D23:$D26,F23:F26,$L23:$L26,N23:N26)</f>
        <v>#VALUE!</v>
      </c>
      <c r="AA23" s="45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Reference!B22</f>
        <v>23502.431700000001</v>
      </c>
      <c r="E24" s="18">
        <f>Reference!C22</f>
        <v>38.7014</v>
      </c>
      <c r="F24" s="18">
        <f>Reference!D22</f>
        <v>43.055399999999999</v>
      </c>
      <c r="G24" s="18">
        <f>Reference!E22</f>
        <v>43.986600000000003</v>
      </c>
      <c r="H24" s="18">
        <f>Reference!F22</f>
        <v>41042.281000000003</v>
      </c>
      <c r="I24" s="18">
        <f>Reference!G22</f>
        <v>12.146000000000001</v>
      </c>
      <c r="J24" s="19">
        <f t="shared" si="3"/>
        <v>11.400633611111111</v>
      </c>
      <c r="L24" s="17">
        <f>Test!B22</f>
        <v>23403.2127</v>
      </c>
      <c r="M24" s="18">
        <f>Test!C22</f>
        <v>38.706299999999999</v>
      </c>
      <c r="N24" s="18">
        <f>Test!D22</f>
        <v>43.029899999999998</v>
      </c>
      <c r="O24" s="18">
        <f>Test!E22</f>
        <v>43.958799999999997</v>
      </c>
      <c r="P24" s="18">
        <f>Test!F22</f>
        <v>41351.406000000003</v>
      </c>
      <c r="Q24" s="18">
        <f>Test!G22</f>
        <v>11.756</v>
      </c>
      <c r="R24" s="18">
        <f t="shared" si="4"/>
        <v>11.486501666666667</v>
      </c>
      <c r="S24" s="17">
        <f t="shared" si="5"/>
        <v>1.0075318669544706</v>
      </c>
      <c r="T24" s="18">
        <f t="shared" si="6"/>
        <v>0.96789066359295239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13189.549199999999</v>
      </c>
      <c r="E25" s="18">
        <f>Reference!C23</f>
        <v>37.238399999999999</v>
      </c>
      <c r="F25" s="18">
        <f>Reference!D23</f>
        <v>41.873800000000003</v>
      </c>
      <c r="G25" s="18">
        <f>Reference!E23</f>
        <v>42.3474</v>
      </c>
      <c r="H25" s="18">
        <f>Reference!F23</f>
        <v>26096.761999999999</v>
      </c>
      <c r="I25" s="18">
        <f>Reference!G23</f>
        <v>10.609</v>
      </c>
      <c r="J25" s="19">
        <f t="shared" si="3"/>
        <v>7.2491005555555557</v>
      </c>
      <c r="L25" s="17">
        <f>Test!B23</f>
        <v>13142.7556</v>
      </c>
      <c r="M25" s="18">
        <f>Test!C23</f>
        <v>37.247100000000003</v>
      </c>
      <c r="N25" s="18">
        <f>Test!D23</f>
        <v>41.877899999999997</v>
      </c>
      <c r="O25" s="18">
        <f>Test!E23</f>
        <v>42.365000000000002</v>
      </c>
      <c r="P25" s="18">
        <f>Test!F23</f>
        <v>26212.976999999999</v>
      </c>
      <c r="Q25" s="18">
        <f>Test!G23</f>
        <v>10.481</v>
      </c>
      <c r="R25" s="18">
        <f t="shared" si="4"/>
        <v>7.2813824999999994</v>
      </c>
      <c r="S25" s="17">
        <f t="shared" si="5"/>
        <v>1.0044532344664063</v>
      </c>
      <c r="T25" s="18">
        <f t="shared" si="6"/>
        <v>0.98793477236308791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7026.9143000000004</v>
      </c>
      <c r="E26" s="23">
        <f>Reference!C24</f>
        <v>35.299399999999999</v>
      </c>
      <c r="F26" s="23">
        <f>Reference!D24</f>
        <v>40.309699999999999</v>
      </c>
      <c r="G26" s="23">
        <f>Reference!E24</f>
        <v>40.318399999999997</v>
      </c>
      <c r="H26" s="23">
        <f>Reference!F24</f>
        <v>15505.851000000001</v>
      </c>
      <c r="I26" s="23">
        <f>Reference!G24</f>
        <v>9.0679999999999996</v>
      </c>
      <c r="J26" s="24">
        <f t="shared" si="3"/>
        <v>4.3071808333333337</v>
      </c>
      <c r="L26" s="22">
        <f>Test!B24</f>
        <v>7014.4825000000001</v>
      </c>
      <c r="M26" s="23">
        <f>Test!C24</f>
        <v>35.314500000000002</v>
      </c>
      <c r="N26" s="23">
        <f>Test!D24</f>
        <v>40.353499999999997</v>
      </c>
      <c r="O26" s="23">
        <f>Test!E24</f>
        <v>40.3825</v>
      </c>
      <c r="P26" s="23">
        <f>Test!F24</f>
        <v>15783.68</v>
      </c>
      <c r="Q26" s="23">
        <f>Test!G24</f>
        <v>9.3789999999999996</v>
      </c>
      <c r="R26" s="23">
        <f t="shared" si="4"/>
        <v>4.3843555555555556</v>
      </c>
      <c r="S26" s="17">
        <f t="shared" si="5"/>
        <v>1.0179176879746876</v>
      </c>
      <c r="T26" s="18">
        <f t="shared" si="6"/>
        <v>1.03429642699603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65257.612800000003</v>
      </c>
      <c r="E27" s="13">
        <f>Reference!C25</f>
        <v>41.673000000000002</v>
      </c>
      <c r="F27" s="13">
        <f>Reference!D25</f>
        <v>44.171900000000001</v>
      </c>
      <c r="G27" s="13">
        <f>Reference!E25</f>
        <v>44.927300000000002</v>
      </c>
      <c r="H27" s="13">
        <f>Reference!F25</f>
        <v>70861.133000000002</v>
      </c>
      <c r="I27" s="13">
        <f>Reference!G25</f>
        <v>18.178999999999998</v>
      </c>
      <c r="J27" s="14">
        <f>H27/3600</f>
        <v>19.683648055555555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3">
        <f>P27/3600</f>
        <v>0</v>
      </c>
      <c r="S27" s="17">
        <f>P27/H27</f>
        <v>0</v>
      </c>
      <c r="T27" s="18">
        <f>Q27/I27</f>
        <v>0</v>
      </c>
      <c r="U27" s="91"/>
      <c r="V27" s="42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Reference!B26</f>
        <v>42040.8128</v>
      </c>
      <c r="E28" s="18">
        <f>Reference!C26</f>
        <v>39.875599999999999</v>
      </c>
      <c r="F28" s="18">
        <f>Reference!D26</f>
        <v>42.639299999999999</v>
      </c>
      <c r="G28" s="18">
        <f>Reference!E26</f>
        <v>43.592599999999997</v>
      </c>
      <c r="H28" s="18">
        <f>Reference!F26</f>
        <v>51488.417999999998</v>
      </c>
      <c r="I28" s="18">
        <f>Reference!G26</f>
        <v>16.204999999999998</v>
      </c>
      <c r="J28" s="19">
        <f t="shared" ref="J28:J46" si="7">H28/3600</f>
        <v>14.302338333333333</v>
      </c>
      <c r="L28" s="17">
        <f>Test!B26</f>
        <v>41955.462399999997</v>
      </c>
      <c r="M28" s="18">
        <f>Test!C26</f>
        <v>39.8904</v>
      </c>
      <c r="N28" s="18">
        <f>Test!D26</f>
        <v>42.6511</v>
      </c>
      <c r="O28" s="18">
        <f>Test!E26</f>
        <v>43.607799999999997</v>
      </c>
      <c r="P28" s="18">
        <f>Test!F26</f>
        <v>51931.593999999997</v>
      </c>
      <c r="Q28" s="18">
        <f>Test!G26</f>
        <v>15.292999999999999</v>
      </c>
      <c r="R28" s="18">
        <f t="shared" ref="R28:R46" si="8">P28/3600</f>
        <v>14.425442777777777</v>
      </c>
      <c r="S28" s="17">
        <f t="shared" ref="S28:S46" si="9">P28/H28</f>
        <v>1.0086072949454381</v>
      </c>
      <c r="T28" s="18">
        <f t="shared" ref="T28:T46" si="10">Q28/I28</f>
        <v>0.94372107374267211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24667.903999999999</v>
      </c>
      <c r="E29" s="18">
        <f>Reference!C27</f>
        <v>37.6571</v>
      </c>
      <c r="F29" s="18">
        <f>Reference!D27</f>
        <v>41.237099999999998</v>
      </c>
      <c r="G29" s="18">
        <f>Reference!E27</f>
        <v>42.217799999999997</v>
      </c>
      <c r="H29" s="18">
        <f>Reference!F27</f>
        <v>35154.398000000001</v>
      </c>
      <c r="I29" s="18">
        <f>Reference!G27</f>
        <v>14.007</v>
      </c>
      <c r="J29" s="19">
        <f t="shared" si="7"/>
        <v>9.7651105555555553</v>
      </c>
      <c r="L29" s="17">
        <f>Test!B27</f>
        <v>24654.604800000001</v>
      </c>
      <c r="M29" s="18">
        <f>Test!C27</f>
        <v>37.674399999999999</v>
      </c>
      <c r="N29" s="18">
        <f>Test!D27</f>
        <v>41.263500000000001</v>
      </c>
      <c r="O29" s="18">
        <f>Test!E27</f>
        <v>42.248800000000003</v>
      </c>
      <c r="P29" s="18">
        <f>Test!F27</f>
        <v>35295.644999999997</v>
      </c>
      <c r="Q29" s="18">
        <f>Test!G27</f>
        <v>13.411</v>
      </c>
      <c r="R29" s="18">
        <f t="shared" si="8"/>
        <v>9.8043458333333326</v>
      </c>
      <c r="S29" s="17">
        <f t="shared" si="9"/>
        <v>1.0040179041040611</v>
      </c>
      <c r="T29" s="18">
        <f t="shared" si="10"/>
        <v>0.95744984650531872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12453.6512</v>
      </c>
      <c r="E30" s="23">
        <f>Reference!C28</f>
        <v>34.976399999999998</v>
      </c>
      <c r="F30" s="23">
        <f>Reference!D28</f>
        <v>39.641500000000001</v>
      </c>
      <c r="G30" s="23">
        <f>Reference!E28</f>
        <v>40.537700000000001</v>
      </c>
      <c r="H30" s="23">
        <f>Reference!F28</f>
        <v>21600.555</v>
      </c>
      <c r="I30" s="23">
        <f>Reference!G28</f>
        <v>11.617000000000001</v>
      </c>
      <c r="J30" s="24">
        <f t="shared" si="7"/>
        <v>6.0001541666666665</v>
      </c>
      <c r="L30" s="22">
        <f>Test!B28</f>
        <v>12459.2768</v>
      </c>
      <c r="M30" s="23">
        <f>Test!C28</f>
        <v>34.997199999999999</v>
      </c>
      <c r="N30" s="23">
        <f>Test!D28</f>
        <v>39.688800000000001</v>
      </c>
      <c r="O30" s="23">
        <f>Test!E28</f>
        <v>40.598300000000002</v>
      </c>
      <c r="P30" s="23">
        <f>Test!F28</f>
        <v>21661.611000000001</v>
      </c>
      <c r="Q30" s="23">
        <f>Test!G28</f>
        <v>11.742000000000001</v>
      </c>
      <c r="R30" s="23">
        <f t="shared" si="8"/>
        <v>6.0171141666666665</v>
      </c>
      <c r="S30" s="17">
        <f t="shared" si="9"/>
        <v>1.0028265940389032</v>
      </c>
      <c r="T30" s="18">
        <f t="shared" si="10"/>
        <v>1.0107600929672031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40027.372799999997</v>
      </c>
      <c r="E31" s="13">
        <f>Reference!C29</f>
        <v>44.843800000000002</v>
      </c>
      <c r="F31" s="13">
        <f>Reference!D29</f>
        <v>47.092399999999998</v>
      </c>
      <c r="G31" s="13">
        <f>Reference!E29</f>
        <v>48.039700000000003</v>
      </c>
      <c r="H31" s="13">
        <f>Reference!F29</f>
        <v>49613.711000000003</v>
      </c>
      <c r="I31" s="13">
        <f>Reference!G29</f>
        <v>16</v>
      </c>
      <c r="J31" s="14">
        <f t="shared" si="7"/>
        <v>13.78158638888889</v>
      </c>
      <c r="L31" s="12">
        <f>Test!B29</f>
        <v>39891.321600000003</v>
      </c>
      <c r="M31" s="13">
        <f>Test!C29</f>
        <v>44.859499999999997</v>
      </c>
      <c r="N31" s="13">
        <f>Test!D29</f>
        <v>47.069299999999998</v>
      </c>
      <c r="O31" s="13">
        <f>Test!E29</f>
        <v>48.015999999999998</v>
      </c>
      <c r="P31" s="13">
        <f>Test!F29</f>
        <v>49765.078000000001</v>
      </c>
      <c r="Q31" s="13">
        <f>Test!G29</f>
        <v>15.249000000000001</v>
      </c>
      <c r="R31" s="13">
        <f t="shared" si="8"/>
        <v>13.823632777777778</v>
      </c>
      <c r="S31" s="17">
        <f t="shared" si="9"/>
        <v>1.0030509106645942</v>
      </c>
      <c r="T31" s="18">
        <f t="shared" si="10"/>
        <v>0.95306250000000003</v>
      </c>
      <c r="U31" s="91"/>
      <c r="V31" s="42">
        <f>bdrate($D31:$D34,E31:E34,$L31:$L34,M31:M34)</f>
        <v>-6.1108544699060019E-3</v>
      </c>
      <c r="W31" s="42">
        <f>bdrate($D31:$D34,F31:F34,$L31:$L34,N31:N34)</f>
        <v>-1.0773146592191307E-2</v>
      </c>
      <c r="X31" s="42">
        <f>bdrate($D31:$D34,G31:G34,$L31:$L34,O31:O34)</f>
        <v>-1.0229235463341424E-2</v>
      </c>
      <c r="Y31" s="40">
        <f>bdrateOld($D31:$D34,E31:E34,$L31:$L34,M31:M34)</f>
        <v>-6.0987291938583432E-3</v>
      </c>
      <c r="Z31" s="44">
        <f>bdrateOld($D31:$D34,F31:F34,$L31:$L34,N31:N34)</f>
        <v>-1.0743985580499937E-2</v>
      </c>
      <c r="AA31" s="45">
        <f>bdrateOld($D31:$D34,G31:G34,$L31:$L34,O31:O34)</f>
        <v>-1.0355973215362635E-2</v>
      </c>
    </row>
    <row r="32" spans="1:27" x14ac:dyDescent="0.2">
      <c r="A32" s="16"/>
      <c r="B32" s="85"/>
      <c r="C32" s="16">
        <v>48</v>
      </c>
      <c r="D32" s="17">
        <f>Reference!B30</f>
        <v>26381.472000000002</v>
      </c>
      <c r="E32" s="18">
        <f>Reference!C30</f>
        <v>42.694299999999998</v>
      </c>
      <c r="F32" s="18">
        <f>Reference!D30</f>
        <v>45.306800000000003</v>
      </c>
      <c r="G32" s="18">
        <f>Reference!E30</f>
        <v>46.142299999999999</v>
      </c>
      <c r="H32" s="18">
        <f>Reference!F30</f>
        <v>37658.133000000002</v>
      </c>
      <c r="I32" s="18">
        <f>Reference!G30</f>
        <v>14.061</v>
      </c>
      <c r="J32" s="19">
        <f t="shared" si="7"/>
        <v>10.460592500000001</v>
      </c>
      <c r="L32" s="17">
        <f>Test!B30</f>
        <v>26307.430400000001</v>
      </c>
      <c r="M32" s="18">
        <f>Test!C30</f>
        <v>42.712499999999999</v>
      </c>
      <c r="N32" s="18">
        <f>Test!D30</f>
        <v>45.302399999999999</v>
      </c>
      <c r="O32" s="18">
        <f>Test!E30</f>
        <v>46.144399999999997</v>
      </c>
      <c r="P32" s="18">
        <f>Test!F30</f>
        <v>38314.413999999997</v>
      </c>
      <c r="Q32" s="18">
        <f>Test!G30</f>
        <v>13.708</v>
      </c>
      <c r="R32" s="18">
        <f t="shared" si="8"/>
        <v>10.642892777777776</v>
      </c>
      <c r="S32" s="17">
        <f t="shared" si="9"/>
        <v>1.0174273376749716</v>
      </c>
      <c r="T32" s="18">
        <f t="shared" si="10"/>
        <v>0.97489509992176948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15608.352000000001</v>
      </c>
      <c r="E33" s="18">
        <f>Reference!C31</f>
        <v>40.018500000000003</v>
      </c>
      <c r="F33" s="18">
        <f>Reference!D31</f>
        <v>43.634599999999999</v>
      </c>
      <c r="G33" s="18">
        <f>Reference!E31</f>
        <v>44.293599999999998</v>
      </c>
      <c r="H33" s="18">
        <f>Reference!F31</f>
        <v>26406.724999999999</v>
      </c>
      <c r="I33" s="18">
        <f>Reference!G31</f>
        <v>12.959</v>
      </c>
      <c r="J33" s="19">
        <f t="shared" si="7"/>
        <v>7.3352013888888887</v>
      </c>
      <c r="L33" s="17">
        <f>Test!B31</f>
        <v>15583.046399999999</v>
      </c>
      <c r="M33" s="18">
        <f>Test!C31</f>
        <v>40.039299999999997</v>
      </c>
      <c r="N33" s="18">
        <f>Test!D31</f>
        <v>43.6798</v>
      </c>
      <c r="O33" s="18">
        <f>Test!E31</f>
        <v>44.342700000000001</v>
      </c>
      <c r="P33" s="18">
        <f>Test!F31</f>
        <v>26907.794999999998</v>
      </c>
      <c r="Q33" s="18">
        <f>Test!G31</f>
        <v>12.212999999999999</v>
      </c>
      <c r="R33" s="18">
        <f t="shared" si="8"/>
        <v>7.4743874999999997</v>
      </c>
      <c r="S33" s="17">
        <f t="shared" si="9"/>
        <v>1.0189750906255888</v>
      </c>
      <c r="T33" s="18">
        <f t="shared" si="10"/>
        <v>0.94243382977081558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8135.2255999999998</v>
      </c>
      <c r="E34" s="23">
        <f>Reference!C32</f>
        <v>36.953899999999997</v>
      </c>
      <c r="F34" s="23">
        <f>Reference!D32</f>
        <v>41.725900000000003</v>
      </c>
      <c r="G34" s="23">
        <f>Reference!E32</f>
        <v>42.118899999999996</v>
      </c>
      <c r="H34" s="23">
        <f>Reference!F32</f>
        <v>16157.956</v>
      </c>
      <c r="I34" s="23">
        <f>Reference!G32</f>
        <v>10.617000000000001</v>
      </c>
      <c r="J34" s="24">
        <f t="shared" si="7"/>
        <v>4.4883211111111114</v>
      </c>
      <c r="L34" s="22">
        <f>Test!B32</f>
        <v>8138.0672000000004</v>
      </c>
      <c r="M34" s="23">
        <f>Test!C32</f>
        <v>36.983899999999998</v>
      </c>
      <c r="N34" s="23">
        <f>Test!D32</f>
        <v>41.812800000000003</v>
      </c>
      <c r="O34" s="23">
        <f>Test!E32</f>
        <v>42.187600000000003</v>
      </c>
      <c r="P34" s="23">
        <f>Test!F32</f>
        <v>16656.030999999999</v>
      </c>
      <c r="Q34" s="23">
        <f>Test!G32</f>
        <v>10.757999999999999</v>
      </c>
      <c r="R34" s="23">
        <f t="shared" si="8"/>
        <v>4.6266752777777773</v>
      </c>
      <c r="S34" s="17">
        <f t="shared" si="9"/>
        <v>1.0308253717239977</v>
      </c>
      <c r="T34" s="18">
        <f t="shared" si="10"/>
        <v>1.0132805877366486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54273.5936</v>
      </c>
      <c r="E35" s="13">
        <f>Reference!C33</f>
        <v>41.693800000000003</v>
      </c>
      <c r="F35" s="13">
        <f>Reference!D33</f>
        <v>45.692700000000002</v>
      </c>
      <c r="G35" s="13">
        <f>Reference!E33</f>
        <v>46.061799999999998</v>
      </c>
      <c r="H35" s="13">
        <f>Reference!F33</f>
        <v>49090.078000000001</v>
      </c>
      <c r="I35" s="13">
        <f>Reference!G33</f>
        <v>10.384</v>
      </c>
      <c r="J35" s="14">
        <f t="shared" si="7"/>
        <v>13.636132777777778</v>
      </c>
      <c r="L35" s="12">
        <f>Test!B33</f>
        <v>54232.108800000002</v>
      </c>
      <c r="M35" s="13">
        <f>Test!C33</f>
        <v>41.691600000000001</v>
      </c>
      <c r="N35" s="13">
        <f>Test!D33</f>
        <v>45.695700000000002</v>
      </c>
      <c r="O35" s="13">
        <f>Test!E33</f>
        <v>46.055199999999999</v>
      </c>
      <c r="P35" s="13">
        <f>Test!F33</f>
        <v>49216.351999999999</v>
      </c>
      <c r="Q35" s="13">
        <f>Test!G33</f>
        <v>9.7240000000000002</v>
      </c>
      <c r="R35" s="13">
        <f t="shared" si="8"/>
        <v>13.671208888888888</v>
      </c>
      <c r="S35" s="12">
        <f t="shared" si="9"/>
        <v>1.0025722916960937</v>
      </c>
      <c r="T35" s="13">
        <f t="shared" si="10"/>
        <v>0.93644067796610164</v>
      </c>
      <c r="U35" s="90"/>
      <c r="V35" s="42">
        <f>bdrate($D35:$D38,E35:E38,$L35:$L38,M35:M38)</f>
        <v>-2.4241258890737027E-3</v>
      </c>
      <c r="W35" s="42">
        <f>bdrate($D35:$D38,F35:F38,$L35:$L38,N35:N38)</f>
        <v>-5.0242276446950118E-3</v>
      </c>
      <c r="X35" s="42">
        <f>bdrate($D35:$D38,G35:G38,$L35:$L38,O35:O38)</f>
        <v>-1.7353913831065992E-2</v>
      </c>
      <c r="Y35" s="40">
        <f>bdrateOld($D35:$D38,E35:E38,$L35:$L38,M35:M38)</f>
        <v>-2.4260297654086216E-3</v>
      </c>
      <c r="Z35" s="44">
        <f>bdrateOld($D35:$D38,F35:F38,$L35:$L38,N35:N38)</f>
        <v>-5.1090546379439772E-3</v>
      </c>
      <c r="AA35" s="45">
        <f>bdrateOld($D35:$D38,G35:G38,$L35:$L38,O35:O38)</f>
        <v>-1.7263931196184856E-2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37083.865599999997</v>
      </c>
      <c r="E36" s="18">
        <f>Reference!C34</f>
        <v>38.755299999999998</v>
      </c>
      <c r="F36" s="18">
        <f>Reference!D34</f>
        <v>43.742400000000004</v>
      </c>
      <c r="G36" s="18">
        <f>Reference!E34</f>
        <v>44.160600000000002</v>
      </c>
      <c r="H36" s="18">
        <f>Reference!F34</f>
        <v>39979.891000000003</v>
      </c>
      <c r="I36" s="18">
        <f>Reference!G34</f>
        <v>9.0950000000000006</v>
      </c>
      <c r="J36" s="19">
        <f t="shared" si="7"/>
        <v>11.10552527777778</v>
      </c>
      <c r="L36" s="17">
        <f>Test!B34</f>
        <v>37054.7264</v>
      </c>
      <c r="M36" s="18">
        <f>Test!C34</f>
        <v>38.760300000000001</v>
      </c>
      <c r="N36" s="18">
        <f>Test!D34</f>
        <v>43.735900000000001</v>
      </c>
      <c r="O36" s="18">
        <f>Test!E34</f>
        <v>44.156500000000001</v>
      </c>
      <c r="P36" s="18">
        <f>Test!F34</f>
        <v>40742.004000000001</v>
      </c>
      <c r="Q36" s="18">
        <f>Test!G34</f>
        <v>9.0470000000000006</v>
      </c>
      <c r="R36" s="18">
        <f t="shared" si="8"/>
        <v>11.317223333333333</v>
      </c>
      <c r="S36" s="17">
        <f t="shared" si="9"/>
        <v>1.0190624081491366</v>
      </c>
      <c r="T36" s="18">
        <f t="shared" si="10"/>
        <v>0.99472237493128091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22058.803199999998</v>
      </c>
      <c r="E37" s="18">
        <f>Reference!C35</f>
        <v>35.384</v>
      </c>
      <c r="F37" s="18">
        <f>Reference!D35</f>
        <v>42.087899999999998</v>
      </c>
      <c r="G37" s="18">
        <f>Reference!E35</f>
        <v>42.558199999999999</v>
      </c>
      <c r="H37" s="18">
        <f>Reference!F35</f>
        <v>29946.188999999998</v>
      </c>
      <c r="I37" s="18">
        <f>Reference!G35</f>
        <v>7.8120000000000003</v>
      </c>
      <c r="J37" s="19">
        <f t="shared" si="7"/>
        <v>8.3183858333333323</v>
      </c>
      <c r="L37" s="17">
        <f>Test!B35</f>
        <v>22016.6528</v>
      </c>
      <c r="M37" s="18">
        <f>Test!C35</f>
        <v>35.389600000000002</v>
      </c>
      <c r="N37" s="18">
        <f>Test!D35</f>
        <v>42.098399999999998</v>
      </c>
      <c r="O37" s="18">
        <f>Test!E35</f>
        <v>42.624099999999999</v>
      </c>
      <c r="P37" s="18">
        <f>Test!F35</f>
        <v>30868.02</v>
      </c>
      <c r="Q37" s="18">
        <f>Test!G35</f>
        <v>7.6180000000000003</v>
      </c>
      <c r="R37" s="18">
        <f t="shared" si="8"/>
        <v>8.5744500000000006</v>
      </c>
      <c r="S37" s="17">
        <f t="shared" si="9"/>
        <v>1.0307829153152008</v>
      </c>
      <c r="T37" s="18">
        <f t="shared" si="10"/>
        <v>0.97516641065028165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10882.169599999999</v>
      </c>
      <c r="E38" s="23">
        <f>Reference!C36</f>
        <v>31.7515</v>
      </c>
      <c r="F38" s="23">
        <f>Reference!D36</f>
        <v>40.492899999999999</v>
      </c>
      <c r="G38" s="23">
        <f>Reference!E36</f>
        <v>41.04</v>
      </c>
      <c r="H38" s="23">
        <f>Reference!F36</f>
        <v>19480.050999999999</v>
      </c>
      <c r="I38" s="23">
        <f>Reference!G36</f>
        <v>6.0810000000000004</v>
      </c>
      <c r="J38" s="24">
        <f t="shared" si="7"/>
        <v>5.4111252777777779</v>
      </c>
      <c r="L38" s="22">
        <f>Test!B36</f>
        <v>10870.5728</v>
      </c>
      <c r="M38" s="23">
        <f>Test!C36</f>
        <v>31.769400000000001</v>
      </c>
      <c r="N38" s="23">
        <f>Test!D36</f>
        <v>40.547600000000003</v>
      </c>
      <c r="O38" s="23">
        <f>Test!E36</f>
        <v>41.185200000000002</v>
      </c>
      <c r="P38" s="23">
        <f>Test!F36</f>
        <v>19662.164000000001</v>
      </c>
      <c r="Q38" s="23">
        <f>Test!G36</f>
        <v>6.1669999999999998</v>
      </c>
      <c r="R38" s="23">
        <f t="shared" si="8"/>
        <v>5.4617122222222223</v>
      </c>
      <c r="S38" s="17">
        <f t="shared" si="9"/>
        <v>1.0093486921569148</v>
      </c>
      <c r="T38" s="18">
        <f t="shared" si="10"/>
        <v>1.0141424107876993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20431.2</v>
      </c>
      <c r="E39" s="13">
        <f>Reference!C37</f>
        <v>42.6599</v>
      </c>
      <c r="F39" s="13">
        <f>Reference!D37</f>
        <v>45.429200000000002</v>
      </c>
      <c r="G39" s="13">
        <f>Reference!E37</f>
        <v>46.8947</v>
      </c>
      <c r="H39" s="13">
        <f>Reference!F37</f>
        <v>27684.164000000001</v>
      </c>
      <c r="I39" s="13">
        <f>Reference!G37</f>
        <v>7.2779999999999996</v>
      </c>
      <c r="J39" s="14">
        <f t="shared" si="7"/>
        <v>7.6900455555555558</v>
      </c>
      <c r="L39" s="12">
        <f>Test!B37</f>
        <v>20390.604800000001</v>
      </c>
      <c r="M39" s="13">
        <f>Test!C37</f>
        <v>42.667299999999997</v>
      </c>
      <c r="N39" s="13">
        <f>Test!D37</f>
        <v>45.424700000000001</v>
      </c>
      <c r="O39" s="13">
        <f>Test!E37</f>
        <v>46.883699999999997</v>
      </c>
      <c r="P39" s="13">
        <f>Test!F37</f>
        <v>28082.603999999999</v>
      </c>
      <c r="Q39" s="13">
        <f>Test!G37</f>
        <v>6.9790000000000001</v>
      </c>
      <c r="R39" s="13">
        <f t="shared" si="8"/>
        <v>7.800723333333333</v>
      </c>
      <c r="S39" s="17">
        <f t="shared" si="9"/>
        <v>1.0143923435795279</v>
      </c>
      <c r="T39" s="18">
        <f t="shared" si="10"/>
        <v>0.95891728496839801</v>
      </c>
      <c r="U39" s="91"/>
      <c r="V39" s="42">
        <f>bdrate($D39:$D42,E39:E42,$L39:$L42,M39:M42)</f>
        <v>-4.8044929334964959E-3</v>
      </c>
      <c r="W39" s="42">
        <f>bdrate($D39:$D42,F39:F42,$L39:$L42,N39:N42)</f>
        <v>-2.7033032573040572E-2</v>
      </c>
      <c r="X39" s="42">
        <f>bdrate($D39:$D42,G39:G42,$L39:$L42,O39:O42)</f>
        <v>-1.766434836296249E-2</v>
      </c>
      <c r="Y39" s="40">
        <f>bdrateOld($D39:$D42,E39:E42,$L39:$L42,M39:M42)</f>
        <v>-4.7947433084233326E-3</v>
      </c>
      <c r="Z39" s="44">
        <f>bdrateOld($D39:$D42,F39:F42,$L39:$L42,N39:N42)</f>
        <v>-2.6410595104590873E-2</v>
      </c>
      <c r="AA39" s="45">
        <f>bdrateOld($D39:$D42,G39:G42,$L39:$L42,O39:O42)</f>
        <v>-1.7843745720476423E-2</v>
      </c>
    </row>
    <row r="40" spans="1:27" x14ac:dyDescent="0.2">
      <c r="A40" s="16"/>
      <c r="B40" s="85"/>
      <c r="C40" s="16">
        <v>32</v>
      </c>
      <c r="D40" s="17">
        <f>Reference!B38</f>
        <v>11647.091200000001</v>
      </c>
      <c r="E40" s="18">
        <f>Reference!C38</f>
        <v>40.648299999999999</v>
      </c>
      <c r="F40" s="18">
        <f>Reference!D38</f>
        <v>44.429099999999998</v>
      </c>
      <c r="G40" s="18">
        <f>Reference!E38</f>
        <v>45.200600000000001</v>
      </c>
      <c r="H40" s="18">
        <f>Reference!F38</f>
        <v>19184.436000000002</v>
      </c>
      <c r="I40" s="18">
        <f>Reference!G38</f>
        <v>6.2409999999999997</v>
      </c>
      <c r="J40" s="19">
        <f t="shared" si="7"/>
        <v>5.3290100000000002</v>
      </c>
      <c r="L40" s="17">
        <f>Test!B38</f>
        <v>11599.974399999999</v>
      </c>
      <c r="M40" s="18">
        <f>Test!C38</f>
        <v>40.650100000000002</v>
      </c>
      <c r="N40" s="18">
        <f>Test!D38</f>
        <v>44.457099999999997</v>
      </c>
      <c r="O40" s="18">
        <f>Test!E38</f>
        <v>45.218400000000003</v>
      </c>
      <c r="P40" s="18">
        <f>Test!F38</f>
        <v>19347.248</v>
      </c>
      <c r="Q40" s="18">
        <f>Test!G38</f>
        <v>6.056</v>
      </c>
      <c r="R40" s="18">
        <f t="shared" si="8"/>
        <v>5.3742355555555559</v>
      </c>
      <c r="S40" s="17">
        <f t="shared" si="9"/>
        <v>1.0084866711744873</v>
      </c>
      <c r="T40" s="18">
        <f t="shared" si="10"/>
        <v>0.97035731453292751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6453.3631999999998</v>
      </c>
      <c r="E41" s="18">
        <f>Reference!C39</f>
        <v>38.639600000000002</v>
      </c>
      <c r="F41" s="18">
        <f>Reference!D39</f>
        <v>43.399000000000001</v>
      </c>
      <c r="G41" s="18">
        <f>Reference!E39</f>
        <v>43.420999999999999</v>
      </c>
      <c r="H41" s="18">
        <f>Reference!F39</f>
        <v>12223.739</v>
      </c>
      <c r="I41" s="18">
        <f>Reference!G39</f>
        <v>5.4740000000000002</v>
      </c>
      <c r="J41" s="19">
        <f t="shared" si="7"/>
        <v>3.3954830555555553</v>
      </c>
      <c r="L41" s="17">
        <f>Test!B39</f>
        <v>6433.0752000000002</v>
      </c>
      <c r="M41" s="18">
        <f>Test!C39</f>
        <v>38.646500000000003</v>
      </c>
      <c r="N41" s="18">
        <f>Test!D39</f>
        <v>43.451300000000003</v>
      </c>
      <c r="O41" s="18">
        <f>Test!E39</f>
        <v>43.488599999999998</v>
      </c>
      <c r="P41" s="18">
        <f>Test!F39</f>
        <v>12425.243</v>
      </c>
      <c r="Q41" s="18">
        <f>Test!G39</f>
        <v>5.2549999999999999</v>
      </c>
      <c r="R41" s="18">
        <f t="shared" si="8"/>
        <v>3.4514563888888889</v>
      </c>
      <c r="S41" s="17">
        <f t="shared" si="9"/>
        <v>1.0164846451646261</v>
      </c>
      <c r="T41" s="18">
        <f t="shared" si="10"/>
        <v>0.95999269272926557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3285.9584</v>
      </c>
      <c r="E42" s="23">
        <f>Reference!C40</f>
        <v>36.257300000000001</v>
      </c>
      <c r="F42" s="23">
        <f>Reference!D40</f>
        <v>41.935099999999998</v>
      </c>
      <c r="G42" s="23">
        <f>Reference!E40</f>
        <v>41.254300000000001</v>
      </c>
      <c r="H42" s="23">
        <f>Reference!F40</f>
        <v>7131.4979999999996</v>
      </c>
      <c r="I42" s="23">
        <f>Reference!G40</f>
        <v>4.343</v>
      </c>
      <c r="J42" s="24">
        <f t="shared" si="7"/>
        <v>1.9809716666666666</v>
      </c>
      <c r="L42" s="22">
        <f>Test!B40</f>
        <v>3281.9456</v>
      </c>
      <c r="M42" s="23">
        <f>Test!C40</f>
        <v>36.2714</v>
      </c>
      <c r="N42" s="23">
        <f>Test!D40</f>
        <v>42.055500000000002</v>
      </c>
      <c r="O42" s="23">
        <f>Test!E40</f>
        <v>41.349200000000003</v>
      </c>
      <c r="P42" s="23">
        <f>Test!F40</f>
        <v>7568.3829999999998</v>
      </c>
      <c r="Q42" s="23">
        <f>Test!G40</f>
        <v>4.8760000000000003</v>
      </c>
      <c r="R42" s="23">
        <f t="shared" si="8"/>
        <v>2.102328611111111</v>
      </c>
      <c r="S42" s="17">
        <f t="shared" si="9"/>
        <v>1.0612613226561938</v>
      </c>
      <c r="T42" s="18">
        <f t="shared" si="10"/>
        <v>1.1227262261109834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15384.678400000001</v>
      </c>
      <c r="E43" s="13">
        <f>Reference!C41</f>
        <v>44.1691</v>
      </c>
      <c r="F43" s="13">
        <f>Reference!D41</f>
        <v>46.923400000000001</v>
      </c>
      <c r="G43" s="13">
        <f>Reference!E41</f>
        <v>47.805500000000002</v>
      </c>
      <c r="H43" s="13">
        <f>Reference!F41</f>
        <v>22052.276999999998</v>
      </c>
      <c r="I43" s="13">
        <f>Reference!G41</f>
        <v>6.6680000000000001</v>
      </c>
      <c r="J43" s="14">
        <f t="shared" si="7"/>
        <v>6.1256324999999991</v>
      </c>
      <c r="L43" s="12">
        <f>Test!B41</f>
        <v>15326.464</v>
      </c>
      <c r="M43" s="13">
        <f>Test!C41</f>
        <v>44.1815</v>
      </c>
      <c r="N43" s="13">
        <f>Test!D41</f>
        <v>46.9116</v>
      </c>
      <c r="O43" s="13">
        <f>Test!E41</f>
        <v>47.778799999999997</v>
      </c>
      <c r="P43" s="13">
        <f>Test!F41</f>
        <v>22378.646000000001</v>
      </c>
      <c r="Q43" s="13">
        <f>Test!G41</f>
        <v>6.5679999999999996</v>
      </c>
      <c r="R43" s="13">
        <f t="shared" si="8"/>
        <v>6.2162905555555561</v>
      </c>
      <c r="S43" s="17">
        <f t="shared" si="9"/>
        <v>1.0147997868882204</v>
      </c>
      <c r="T43" s="18">
        <f t="shared" si="10"/>
        <v>0.98500299940011993</v>
      </c>
      <c r="U43" s="91"/>
      <c r="V43" s="42">
        <f>bdrate($D43:$D46,E43:E46,$L43:$L46,M43:M46)</f>
        <v>-6.4741531489326265E-3</v>
      </c>
      <c r="W43" s="42">
        <f>bdrate($D43:$D46,F43:F46,$L43:$L46,N43:N46)</f>
        <v>-5.8062794155506747E-3</v>
      </c>
      <c r="X43" s="42">
        <f>bdrate($D43:$D46,G43:G46,$L43:$L46,O43:O46)</f>
        <v>-1.6676233352488801E-2</v>
      </c>
      <c r="Y43" s="40">
        <f>bdrateOld($D43:$D46,E43:E46,$L43:$L46,M43:M46)</f>
        <v>-6.4488431582072625E-3</v>
      </c>
      <c r="Z43" s="44">
        <f>bdrateOld($D43:$D46,F43:F46,$L43:$L46,N43:N46)</f>
        <v>-5.5962414813087724E-3</v>
      </c>
      <c r="AA43" s="45">
        <f>bdrateOld($D43:$D46,G43:G46,$L43:$L46,O43:O46)</f>
        <v>-1.6948380996069545E-2</v>
      </c>
    </row>
    <row r="44" spans="1:27" x14ac:dyDescent="0.2">
      <c r="A44" s="16"/>
      <c r="B44" s="85"/>
      <c r="C44" s="16">
        <v>32</v>
      </c>
      <c r="D44" s="17">
        <f>Reference!B42</f>
        <v>10416.4928</v>
      </c>
      <c r="E44" s="18">
        <f>Reference!C42</f>
        <v>42.432400000000001</v>
      </c>
      <c r="F44" s="18">
        <f>Reference!D42</f>
        <v>45.685200000000002</v>
      </c>
      <c r="G44" s="18">
        <f>Reference!E42</f>
        <v>46.345999999999997</v>
      </c>
      <c r="H44" s="18">
        <f>Reference!F42</f>
        <v>16421.932000000001</v>
      </c>
      <c r="I44" s="18">
        <f>Reference!G42</f>
        <v>6.1310000000000002</v>
      </c>
      <c r="J44" s="19">
        <f t="shared" si="7"/>
        <v>4.561647777777778</v>
      </c>
      <c r="L44" s="17">
        <f>Test!B42</f>
        <v>10382.924800000001</v>
      </c>
      <c r="M44" s="18">
        <f>Test!C42</f>
        <v>42.447200000000002</v>
      </c>
      <c r="N44" s="18">
        <f>Test!D42</f>
        <v>45.676200000000001</v>
      </c>
      <c r="O44" s="18">
        <f>Test!E42</f>
        <v>46.351399999999998</v>
      </c>
      <c r="P44" s="18">
        <f>Test!F42</f>
        <v>16702.826000000001</v>
      </c>
      <c r="Q44" s="18">
        <f>Test!G42</f>
        <v>5.9349999999999996</v>
      </c>
      <c r="R44" s="18">
        <f t="shared" si="8"/>
        <v>4.6396738888888889</v>
      </c>
      <c r="S44" s="17">
        <f t="shared" si="9"/>
        <v>1.0171048083745566</v>
      </c>
      <c r="T44" s="18">
        <f t="shared" si="10"/>
        <v>0.9680313162616212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6575.7951999999996</v>
      </c>
      <c r="E45" s="18">
        <f>Reference!C43</f>
        <v>40.086199999999998</v>
      </c>
      <c r="F45" s="18">
        <f>Reference!D43</f>
        <v>44.280299999999997</v>
      </c>
      <c r="G45" s="18">
        <f>Reference!E43</f>
        <v>44.752099999999999</v>
      </c>
      <c r="H45" s="18">
        <f>Reference!F43</f>
        <v>11548.303</v>
      </c>
      <c r="I45" s="18">
        <f>Reference!G43</f>
        <v>5.492</v>
      </c>
      <c r="J45" s="19">
        <f t="shared" si="7"/>
        <v>3.2078619444444443</v>
      </c>
      <c r="L45" s="17">
        <f>Test!B43</f>
        <v>6558.7327999999998</v>
      </c>
      <c r="M45" s="18">
        <f>Test!C43</f>
        <v>40.103999999999999</v>
      </c>
      <c r="N45" s="18">
        <f>Test!D43</f>
        <v>44.288400000000003</v>
      </c>
      <c r="O45" s="18">
        <f>Test!E43</f>
        <v>44.827599999999997</v>
      </c>
      <c r="P45" s="18">
        <f>Test!F43</f>
        <v>11767.558000000001</v>
      </c>
      <c r="Q45" s="18">
        <f>Test!G43</f>
        <v>5.5039999999999996</v>
      </c>
      <c r="R45" s="18">
        <f t="shared" si="8"/>
        <v>3.2687661111111113</v>
      </c>
      <c r="S45" s="17">
        <f t="shared" si="9"/>
        <v>1.0189859064141287</v>
      </c>
      <c r="T45" s="18">
        <f t="shared" si="10"/>
        <v>1.0021849963583394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3802.5472</v>
      </c>
      <c r="E46" s="23">
        <f>Reference!C44</f>
        <v>37.0837</v>
      </c>
      <c r="F46" s="23">
        <f>Reference!D44</f>
        <v>42.4482</v>
      </c>
      <c r="G46" s="23">
        <f>Reference!E44</f>
        <v>42.819299999999998</v>
      </c>
      <c r="H46" s="23">
        <f>Reference!F44</f>
        <v>7498.2139999999999</v>
      </c>
      <c r="I46" s="23">
        <f>Reference!G44</f>
        <v>4.609</v>
      </c>
      <c r="J46" s="24">
        <f t="shared" si="7"/>
        <v>2.082837222222222</v>
      </c>
      <c r="L46" s="22">
        <f>Test!B44</f>
        <v>3793.7984000000001</v>
      </c>
      <c r="M46" s="23">
        <f>Test!C44</f>
        <v>37.116900000000001</v>
      </c>
      <c r="N46" s="23">
        <f>Test!D44</f>
        <v>42.518799999999999</v>
      </c>
      <c r="O46" s="23">
        <f>Test!E44</f>
        <v>42.941099999999999</v>
      </c>
      <c r="P46" s="23">
        <f>Test!F44</f>
        <v>7959.8779999999997</v>
      </c>
      <c r="Q46" s="23">
        <f>Test!G44</f>
        <v>5.0149999999999997</v>
      </c>
      <c r="R46" s="23">
        <f t="shared" si="8"/>
        <v>2.2110772222222224</v>
      </c>
      <c r="S46" s="17">
        <f t="shared" si="9"/>
        <v>1.061569861836432</v>
      </c>
      <c r="T46" s="18">
        <f t="shared" si="10"/>
        <v>1.0880885224560641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16595.833600000002</v>
      </c>
      <c r="E47" s="13">
        <f>Reference!C45</f>
        <v>44.115699999999997</v>
      </c>
      <c r="F47" s="13">
        <f>Reference!D45</f>
        <v>48.428199999999997</v>
      </c>
      <c r="G47" s="13">
        <f>Reference!E45</f>
        <v>48.146299999999997</v>
      </c>
      <c r="H47" s="13">
        <f>Reference!F45</f>
        <v>21805.761999999999</v>
      </c>
      <c r="I47" s="13">
        <f>Reference!G45</f>
        <v>6.5060000000000002</v>
      </c>
      <c r="J47" s="14">
        <f>H47/3600</f>
        <v>6.0571561111111105</v>
      </c>
      <c r="L47" s="12">
        <f>Test!B45</f>
        <v>16543.328000000001</v>
      </c>
      <c r="M47" s="13">
        <f>Test!C45</f>
        <v>44.1265</v>
      </c>
      <c r="N47" s="13">
        <f>Test!D45</f>
        <v>48.393099999999997</v>
      </c>
      <c r="O47" s="13">
        <f>Test!E45</f>
        <v>48.147599999999997</v>
      </c>
      <c r="P47" s="13">
        <f>Test!F45</f>
        <v>21999.261999999999</v>
      </c>
      <c r="Q47" s="13">
        <f>Test!G45</f>
        <v>6.3029999999999999</v>
      </c>
      <c r="R47" s="13">
        <f>P47/3600</f>
        <v>6.1109061111111105</v>
      </c>
      <c r="S47" s="17">
        <f>P47/H47</f>
        <v>1.008873801337463</v>
      </c>
      <c r="T47" s="18">
        <f>Q47/I47</f>
        <v>0.96879803258530583</v>
      </c>
      <c r="U47" s="91"/>
      <c r="V47" s="42">
        <f>bdrate($D47:$D50,E47:E50,$L47:$L50,M47:M50)</f>
        <v>-3.7565838761315362E-3</v>
      </c>
      <c r="W47" s="42">
        <f>bdrate($D47:$D50,F47:F50,$L47:$L50,N47:N50)</f>
        <v>1.5498648676008475E-2</v>
      </c>
      <c r="X47" s="43">
        <f>bdrate($D47:$D50,G47:G50,$L47:$L50,O47:O50)</f>
        <v>-9.3802859066416389E-3</v>
      </c>
      <c r="Y47" s="37">
        <f>bdrateOld($D47:$D50,E47:E50,$L47:$L50,M47:M50)</f>
        <v>-3.7381824358265758E-3</v>
      </c>
      <c r="Z47" s="42">
        <f>bdrateOld($D47:$D50,F47:F50,$L47:$L50,N47:N50)</f>
        <v>1.5382492349264254E-2</v>
      </c>
      <c r="AA47" s="43">
        <f>bdrateOld($D47:$D50,G47:G50,$L47:$L50,O47:O50)</f>
        <v>-9.2803899624903652E-3</v>
      </c>
    </row>
    <row r="48" spans="1:27" x14ac:dyDescent="0.2">
      <c r="A48" s="16"/>
      <c r="B48" s="85"/>
      <c r="C48" s="16">
        <v>32</v>
      </c>
      <c r="D48" s="17">
        <f>Reference!B46</f>
        <v>11519.3472</v>
      </c>
      <c r="E48" s="18">
        <f>Reference!C46</f>
        <v>42.369199999999999</v>
      </c>
      <c r="F48" s="18">
        <f>Reference!D46</f>
        <v>47.291600000000003</v>
      </c>
      <c r="G48" s="18">
        <f>Reference!E46</f>
        <v>46.506599999999999</v>
      </c>
      <c r="H48" s="18">
        <f>Reference!F46</f>
        <v>16764.907999999999</v>
      </c>
      <c r="I48" s="18">
        <f>Reference!G46</f>
        <v>5.944</v>
      </c>
      <c r="J48" s="19">
        <f t="shared" ref="J48:J70" si="11">H48/3600</f>
        <v>4.6569188888888888</v>
      </c>
      <c r="L48" s="17">
        <f>Test!B46</f>
        <v>11480.947200000001</v>
      </c>
      <c r="M48" s="18">
        <f>Test!C46</f>
        <v>42.376199999999997</v>
      </c>
      <c r="N48" s="18">
        <f>Test!D46</f>
        <v>47.247100000000003</v>
      </c>
      <c r="O48" s="18">
        <f>Test!E46</f>
        <v>46.526800000000001</v>
      </c>
      <c r="P48" s="18">
        <f>Test!F46</f>
        <v>16880.213</v>
      </c>
      <c r="Q48" s="18">
        <f>Test!G46</f>
        <v>5.6520000000000001</v>
      </c>
      <c r="R48" s="18">
        <f t="shared" ref="R48:R70" si="12">P48/3600</f>
        <v>4.6889480555555556</v>
      </c>
      <c r="S48" s="17">
        <f t="shared" ref="S48:S70" si="13">P48/H48</f>
        <v>1.0068777591860332</v>
      </c>
      <c r="T48" s="18">
        <f t="shared" ref="T48:T70" si="14">Q48/I48</f>
        <v>0.95087483176312249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7478.5536000000002</v>
      </c>
      <c r="E49" s="18">
        <f>Reference!C47</f>
        <v>39.9756</v>
      </c>
      <c r="F49" s="18">
        <f>Reference!D47</f>
        <v>46.081200000000003</v>
      </c>
      <c r="G49" s="18">
        <f>Reference!E47</f>
        <v>44.655299999999997</v>
      </c>
      <c r="H49" s="18">
        <f>Reference!F47</f>
        <v>12189.691999999999</v>
      </c>
      <c r="I49" s="18">
        <f>Reference!G47</f>
        <v>5.3280000000000003</v>
      </c>
      <c r="J49" s="19">
        <f t="shared" si="11"/>
        <v>3.3860255555555554</v>
      </c>
      <c r="L49" s="17">
        <f>Test!B47</f>
        <v>7450.1247999999996</v>
      </c>
      <c r="M49" s="18">
        <f>Test!C47</f>
        <v>39.9724</v>
      </c>
      <c r="N49" s="18">
        <f>Test!D47</f>
        <v>46.021299999999997</v>
      </c>
      <c r="O49" s="18">
        <f>Test!E47</f>
        <v>44.681800000000003</v>
      </c>
      <c r="P49" s="18">
        <f>Test!F47</f>
        <v>12345.812</v>
      </c>
      <c r="Q49" s="18">
        <f>Test!G47</f>
        <v>5.2649999999999997</v>
      </c>
      <c r="R49" s="18">
        <f t="shared" si="12"/>
        <v>3.4293922222222224</v>
      </c>
      <c r="S49" s="17">
        <f t="shared" si="13"/>
        <v>1.0128075426352037</v>
      </c>
      <c r="T49" s="18">
        <f t="shared" si="14"/>
        <v>0.98817567567567555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4343.1040000000003</v>
      </c>
      <c r="E50" s="23">
        <f>Reference!C48</f>
        <v>36.741199999999999</v>
      </c>
      <c r="F50" s="23">
        <f>Reference!D48</f>
        <v>44.346800000000002</v>
      </c>
      <c r="G50" s="23">
        <f>Reference!E48</f>
        <v>42.308</v>
      </c>
      <c r="H50" s="23">
        <f>Reference!F48</f>
        <v>8141.2560000000003</v>
      </c>
      <c r="I50" s="23">
        <f>Reference!G48</f>
        <v>4.476</v>
      </c>
      <c r="J50" s="24">
        <f t="shared" si="11"/>
        <v>2.26146</v>
      </c>
      <c r="L50" s="22">
        <f>Test!B48</f>
        <v>4334.9440000000004</v>
      </c>
      <c r="M50" s="23">
        <f>Test!C48</f>
        <v>36.746699999999997</v>
      </c>
      <c r="N50" s="23">
        <f>Test!D48</f>
        <v>44.255899999999997</v>
      </c>
      <c r="O50" s="23">
        <f>Test!E48</f>
        <v>42.363999999999997</v>
      </c>
      <c r="P50" s="23">
        <f>Test!F48</f>
        <v>8470.652</v>
      </c>
      <c r="Q50" s="23">
        <f>Test!G48</f>
        <v>4.7300000000000004</v>
      </c>
      <c r="R50" s="23">
        <f t="shared" si="12"/>
        <v>2.3529588888888888</v>
      </c>
      <c r="S50" s="22">
        <f t="shared" si="13"/>
        <v>1.0404600960834545</v>
      </c>
      <c r="T50" s="23">
        <f t="shared" si="14"/>
        <v>1.0567470956210903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26.515554415902358</v>
      </c>
      <c r="J75" s="15">
        <f>GEOMEAN(J3:J18)</f>
        <v>17.768701963112111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9">AVERAGE(W3:W18)</f>
        <v>#VALUE!</v>
      </c>
      <c r="X75" s="42" t="e">
        <f t="shared" si="19"/>
        <v>#VALUE!</v>
      </c>
      <c r="Y75" s="37" t="e">
        <f>AVERAGE(Y3:Y18)</f>
        <v>#VALUE!</v>
      </c>
      <c r="Z75" s="42" t="e">
        <f t="shared" si="19"/>
        <v>#VALUE!</v>
      </c>
      <c r="AA75" s="43" t="e">
        <f t="shared" si="19"/>
        <v>#VALUE!</v>
      </c>
    </row>
    <row r="76" spans="1:27" x14ac:dyDescent="0.2">
      <c r="B76" s="89" t="s">
        <v>47</v>
      </c>
      <c r="I76" s="15">
        <f>GEOMEAN(I19:I34)</f>
        <v>13.072355805441306</v>
      </c>
      <c r="J76" s="15">
        <f>GEOMEAN(J19:J34)</f>
        <v>10.136399371353576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40" t="e">
        <f>AVERAGE(V19:V34)</f>
        <v>#VALUE!</v>
      </c>
      <c r="W76" s="44" t="e">
        <f t="shared" ref="W76:AA76" si="20">AVERAGE(W19:W34)</f>
        <v>#VALUE!</v>
      </c>
      <c r="X76" s="44" t="e">
        <f t="shared" si="20"/>
        <v>#VALUE!</v>
      </c>
      <c r="Y76" s="40" t="e">
        <f t="shared" si="20"/>
        <v>#VALUE!</v>
      </c>
      <c r="Z76" s="44" t="e">
        <f t="shared" si="20"/>
        <v>#VALUE!</v>
      </c>
      <c r="AA76" s="45" t="e">
        <f t="shared" si="20"/>
        <v>#VALUE!</v>
      </c>
    </row>
    <row r="77" spans="1:27" x14ac:dyDescent="0.2">
      <c r="B77" s="89" t="s">
        <v>51</v>
      </c>
      <c r="I77" s="15">
        <f>GEOMEAN(I35:I50)</f>
        <v>6.1881530781203127</v>
      </c>
      <c r="J77" s="15">
        <f>GEOMEAN(J35:J50)</f>
        <v>4.7859582722118228</v>
      </c>
      <c r="Q77" s="15">
        <f>GEOMEAN(Q35:Q50)</f>
        <v>6.157696209238984</v>
      </c>
      <c r="R77" s="15">
        <f>GEOMEAN(R35:R50)</f>
        <v>4.888109983390982</v>
      </c>
      <c r="S77" s="15">
        <f>GEOMEAN(S35:S50)</f>
        <v>1.0213440455116944</v>
      </c>
      <c r="T77" s="15">
        <f>GEOMEAN(T35:T50)</f>
        <v>0.99507819724288726</v>
      </c>
      <c r="V77" s="40">
        <f>AVERAGE(V35:V50)</f>
        <v>-4.3648389619085903E-3</v>
      </c>
      <c r="W77" s="44">
        <f t="shared" ref="W77:AA77" si="21">AVERAGE(W35:W50)</f>
        <v>-5.5912227393194458E-3</v>
      </c>
      <c r="X77" s="44">
        <f t="shared" si="21"/>
        <v>-1.526869536328973E-2</v>
      </c>
      <c r="Y77" s="40">
        <f t="shared" si="21"/>
        <v>-4.3519496669664481E-3</v>
      </c>
      <c r="Z77" s="44">
        <f t="shared" si="21"/>
        <v>-5.4333497186448421E-3</v>
      </c>
      <c r="AA77" s="45">
        <f t="shared" si="21"/>
        <v>-1.5334111968805297E-2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12.896500329570143</v>
      </c>
      <c r="J80" s="54">
        <f xml:space="preserve"> GEOMEAN(J3:J50)</f>
        <v>9.5170592845757884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 xml:space="preserve"> 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5">AVERAGE(W3:W50)</f>
        <v>#VALUE!</v>
      </c>
      <c r="X80" s="47" t="e">
        <f t="shared" si="25"/>
        <v>#VALUE!</v>
      </c>
      <c r="Y80" s="46" t="e">
        <f t="shared" si="25"/>
        <v>#VALUE!</v>
      </c>
      <c r="Z80" s="46" t="e">
        <f t="shared" si="25"/>
        <v>#VALUE!</v>
      </c>
      <c r="AA80" s="47" t="e">
        <f t="shared" si="25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14891.128000000001</v>
      </c>
      <c r="E3" s="13">
        <f>Reference!C73</f>
        <v>40.069800000000001</v>
      </c>
      <c r="F3" s="13">
        <f>Reference!D73</f>
        <v>48.914499999999997</v>
      </c>
      <c r="G3" s="13">
        <f>Reference!E73</f>
        <v>46.920699999999997</v>
      </c>
      <c r="H3" s="13">
        <f>Reference!F73</f>
        <v>324658.359</v>
      </c>
      <c r="I3" s="13">
        <f>Reference!G73</f>
        <v>84.132000000000005</v>
      </c>
      <c r="J3" s="14">
        <f>H3/3600</f>
        <v>90.182877500000004</v>
      </c>
      <c r="L3" s="12">
        <f>Test!B73</f>
        <v>0</v>
      </c>
      <c r="M3" s="13">
        <f>Test!C73</f>
        <v>0</v>
      </c>
      <c r="N3" s="13">
        <f>Test!D73</f>
        <v>0</v>
      </c>
      <c r="O3" s="13">
        <f>Test!E73</f>
        <v>0</v>
      </c>
      <c r="P3" s="13">
        <f>Test!F73</f>
        <v>0</v>
      </c>
      <c r="Q3" s="13">
        <f>Test!G73</f>
        <v>0</v>
      </c>
      <c r="R3" s="14">
        <f>P3/3600</f>
        <v>0</v>
      </c>
      <c r="S3" s="12">
        <f>P3/H3</f>
        <v>0</v>
      </c>
      <c r="T3" s="13">
        <f>Q3/I3</f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6935.82</v>
      </c>
      <c r="E4" s="18">
        <f>Reference!C74</f>
        <v>39.563600000000001</v>
      </c>
      <c r="F4" s="18">
        <f>Reference!D74</f>
        <v>48.291400000000003</v>
      </c>
      <c r="G4" s="18">
        <f>Reference!E74</f>
        <v>46.028500000000001</v>
      </c>
      <c r="H4" s="18">
        <f>Reference!F74</f>
        <v>165191.65400000001</v>
      </c>
      <c r="I4" s="18">
        <f>Reference!G74</f>
        <v>56.62</v>
      </c>
      <c r="J4" s="19">
        <f t="shared" ref="J4:J14" si="0">H4/3600</f>
        <v>45.886570555555558</v>
      </c>
      <c r="L4" s="17">
        <f>Test!B74</f>
        <v>0</v>
      </c>
      <c r="M4" s="18">
        <f>Test!C74</f>
        <v>0</v>
      </c>
      <c r="N4" s="18">
        <f>Test!D74</f>
        <v>0</v>
      </c>
      <c r="O4" s="18">
        <f>Test!E74</f>
        <v>0</v>
      </c>
      <c r="P4" s="18">
        <f>Test!F74</f>
        <v>0</v>
      </c>
      <c r="Q4" s="18">
        <f>Test!G74</f>
        <v>0</v>
      </c>
      <c r="R4" s="19">
        <f t="shared" ref="R4:R14" si="1">P4/3600</f>
        <v>0</v>
      </c>
      <c r="S4" s="17">
        <f t="shared" ref="S4:T46" si="2">P4/H4</f>
        <v>0</v>
      </c>
      <c r="T4" s="18">
        <f t="shared" si="2"/>
        <v>0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3756.096</v>
      </c>
      <c r="E5" s="18">
        <f>Reference!C75</f>
        <v>38.690600000000003</v>
      </c>
      <c r="F5" s="18">
        <f>Reference!D75</f>
        <v>47.250799999999998</v>
      </c>
      <c r="G5" s="18">
        <f>Reference!E75</f>
        <v>44.688899999999997</v>
      </c>
      <c r="H5" s="18">
        <f>Reference!F75</f>
        <v>86068.952999999994</v>
      </c>
      <c r="I5" s="18">
        <f>Reference!G75</f>
        <v>52.223999999999997</v>
      </c>
      <c r="J5" s="19">
        <f t="shared" si="0"/>
        <v>23.908042499999997</v>
      </c>
      <c r="L5" s="17">
        <f>Test!B75</f>
        <v>3705.248</v>
      </c>
      <c r="M5" s="18">
        <f>Test!C75</f>
        <v>38.716000000000001</v>
      </c>
      <c r="N5" s="18">
        <f>Test!D75</f>
        <v>47.327300000000001</v>
      </c>
      <c r="O5" s="18">
        <f>Test!E75</f>
        <v>44.732199999999999</v>
      </c>
      <c r="P5" s="18">
        <f>Test!F75</f>
        <v>96476.134999999995</v>
      </c>
      <c r="Q5" s="18">
        <f>Test!G75</f>
        <v>57.643999999999998</v>
      </c>
      <c r="R5" s="19">
        <f t="shared" si="1"/>
        <v>26.798926388888887</v>
      </c>
      <c r="S5" s="17">
        <f t="shared" si="2"/>
        <v>1.1209167956301269</v>
      </c>
      <c r="T5" s="18">
        <f t="shared" si="2"/>
        <v>1.1037837009803921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1985.8119999999999</v>
      </c>
      <c r="E6" s="23">
        <f>Reference!C76</f>
        <v>37.146999999999998</v>
      </c>
      <c r="F6" s="23">
        <f>Reference!D76</f>
        <v>45.9664</v>
      </c>
      <c r="G6" s="23">
        <f>Reference!E76</f>
        <v>43.009500000000003</v>
      </c>
      <c r="H6" s="23">
        <f>Reference!F76</f>
        <v>47341.906999999999</v>
      </c>
      <c r="I6" s="23">
        <f>Reference!G76</f>
        <v>51.095999999999997</v>
      </c>
      <c r="J6" s="24">
        <f t="shared" si="0"/>
        <v>13.150529722222222</v>
      </c>
      <c r="L6" s="22">
        <f>Test!B76</f>
        <v>1961.8320000000001</v>
      </c>
      <c r="M6" s="23">
        <f>Test!C76</f>
        <v>37.2042</v>
      </c>
      <c r="N6" s="23">
        <f>Test!D76</f>
        <v>46.080100000000002</v>
      </c>
      <c r="O6" s="23">
        <f>Test!E76</f>
        <v>43.069800000000001</v>
      </c>
      <c r="P6" s="23">
        <f>Test!F76</f>
        <v>47123.78</v>
      </c>
      <c r="Q6" s="23">
        <f>Test!G76</f>
        <v>50.548999999999999</v>
      </c>
      <c r="R6" s="24">
        <f t="shared" si="1"/>
        <v>13.089938888888888</v>
      </c>
      <c r="S6" s="17">
        <f t="shared" si="2"/>
        <v>0.99539251766938752</v>
      </c>
      <c r="T6" s="18">
        <f t="shared" si="2"/>
        <v>0.98929466103021768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78314.788</v>
      </c>
      <c r="E7" s="13">
        <f>Reference!C77</f>
        <v>41.558999999999997</v>
      </c>
      <c r="F7" s="13">
        <f>Reference!D77</f>
        <v>36.299599999999998</v>
      </c>
      <c r="G7" s="13">
        <f>Reference!E77</f>
        <v>37.386800000000001</v>
      </c>
      <c r="H7" s="13">
        <f>Reference!F77</f>
        <v>647678.43200000003</v>
      </c>
      <c r="I7" s="13">
        <f>Reference!G77</f>
        <v>73.802000000000007</v>
      </c>
      <c r="J7" s="14">
        <f t="shared" si="0"/>
        <v>179.91067555555557</v>
      </c>
      <c r="L7" s="12">
        <f>Test!B77</f>
        <v>0</v>
      </c>
      <c r="M7" s="13">
        <f>Test!C77</f>
        <v>0</v>
      </c>
      <c r="N7" s="13">
        <f>Test!D77</f>
        <v>0</v>
      </c>
      <c r="O7" s="13">
        <f>Test!E77</f>
        <v>0</v>
      </c>
      <c r="P7" s="13">
        <f>Test!F77</f>
        <v>0</v>
      </c>
      <c r="Q7" s="13">
        <f>Test!G77</f>
        <v>0</v>
      </c>
      <c r="R7" s="14">
        <f t="shared" si="1"/>
        <v>0</v>
      </c>
      <c r="S7" s="17">
        <f t="shared" si="2"/>
        <v>0</v>
      </c>
      <c r="T7" s="18">
        <f t="shared" si="2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Reference!B78</f>
        <v>40567.843999999997</v>
      </c>
      <c r="E8" s="18">
        <f>Reference!C78</f>
        <v>38.953299999999999</v>
      </c>
      <c r="F8" s="18">
        <f>Reference!D78</f>
        <v>34.334600000000002</v>
      </c>
      <c r="G8" s="18">
        <f>Reference!E78</f>
        <v>35.6539</v>
      </c>
      <c r="H8" s="18">
        <f>Reference!F78</f>
        <v>416762.49300000002</v>
      </c>
      <c r="I8" s="18">
        <f>Reference!G78</f>
        <v>78.808000000000007</v>
      </c>
      <c r="J8" s="19">
        <f t="shared" si="0"/>
        <v>115.76735916666667</v>
      </c>
      <c r="L8" s="17">
        <f>Test!B78</f>
        <v>0</v>
      </c>
      <c r="M8" s="18">
        <f>Test!C78</f>
        <v>0</v>
      </c>
      <c r="N8" s="18">
        <f>Test!D78</f>
        <v>0</v>
      </c>
      <c r="O8" s="18">
        <f>Test!E78</f>
        <v>0</v>
      </c>
      <c r="P8" s="18">
        <f>Test!F78</f>
        <v>0</v>
      </c>
      <c r="Q8" s="18">
        <f>Test!G78</f>
        <v>0</v>
      </c>
      <c r="R8" s="19">
        <f t="shared" si="1"/>
        <v>0</v>
      </c>
      <c r="S8" s="17">
        <f t="shared" si="2"/>
        <v>0</v>
      </c>
      <c r="T8" s="18">
        <f t="shared" si="2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19107.707999999999</v>
      </c>
      <c r="E9" s="18">
        <f>Reference!C79</f>
        <v>36.0486</v>
      </c>
      <c r="F9" s="18">
        <f>Reference!D79</f>
        <v>32.5901</v>
      </c>
      <c r="G9" s="18">
        <f>Reference!E79</f>
        <v>34.103000000000002</v>
      </c>
      <c r="H9" s="18">
        <f>Reference!F79</f>
        <v>231977.75399999999</v>
      </c>
      <c r="I9" s="18">
        <f>Reference!G79</f>
        <v>55.956000000000003</v>
      </c>
      <c r="J9" s="19">
        <f t="shared" si="0"/>
        <v>64.438265000000001</v>
      </c>
      <c r="L9" s="17">
        <f>Test!B79</f>
        <v>0</v>
      </c>
      <c r="M9" s="18">
        <f>Test!C79</f>
        <v>0</v>
      </c>
      <c r="N9" s="18">
        <f>Test!D79</f>
        <v>0</v>
      </c>
      <c r="O9" s="18">
        <f>Test!E79</f>
        <v>0</v>
      </c>
      <c r="P9" s="18">
        <f>Test!F79</f>
        <v>0</v>
      </c>
      <c r="Q9" s="18">
        <f>Test!G79</f>
        <v>0</v>
      </c>
      <c r="R9" s="19">
        <f t="shared" si="1"/>
        <v>0</v>
      </c>
      <c r="S9" s="17">
        <f t="shared" si="2"/>
        <v>0</v>
      </c>
      <c r="T9" s="18">
        <f t="shared" si="2"/>
        <v>0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7850.9080000000004</v>
      </c>
      <c r="E10" s="23">
        <f>Reference!C80</f>
        <v>32.9739</v>
      </c>
      <c r="F10" s="23">
        <f>Reference!D80</f>
        <v>30.976800000000001</v>
      </c>
      <c r="G10" s="23">
        <f>Reference!E80</f>
        <v>32.712400000000002</v>
      </c>
      <c r="H10" s="23">
        <f>Reference!F80</f>
        <v>129863.82399999999</v>
      </c>
      <c r="I10" s="23">
        <f>Reference!G80</f>
        <v>51.564</v>
      </c>
      <c r="J10" s="24">
        <f t="shared" si="0"/>
        <v>36.07328444444444</v>
      </c>
      <c r="L10" s="22">
        <f>Test!B80</f>
        <v>0</v>
      </c>
      <c r="M10" s="23">
        <f>Test!C80</f>
        <v>0</v>
      </c>
      <c r="N10" s="23">
        <f>Test!D80</f>
        <v>0</v>
      </c>
      <c r="O10" s="23">
        <f>Test!E80</f>
        <v>0</v>
      </c>
      <c r="P10" s="23">
        <f>Test!F80</f>
        <v>0</v>
      </c>
      <c r="Q10" s="23">
        <f>Test!G80</f>
        <v>0</v>
      </c>
      <c r="R10" s="24">
        <f t="shared" si="1"/>
        <v>0</v>
      </c>
      <c r="S10" s="17">
        <f t="shared" si="2"/>
        <v>0</v>
      </c>
      <c r="T10" s="18">
        <f t="shared" si="2"/>
        <v>0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39344.296000000002</v>
      </c>
      <c r="E11" s="13">
        <f>Reference!C81</f>
        <v>38.297800000000002</v>
      </c>
      <c r="F11" s="13">
        <f>Reference!D81</f>
        <v>40.323700000000002</v>
      </c>
      <c r="G11" s="13">
        <f>Reference!E81</f>
        <v>41.319000000000003</v>
      </c>
      <c r="H11" s="13">
        <f>Reference!F81</f>
        <v>362270.348</v>
      </c>
      <c r="I11" s="13">
        <f>Reference!G81</f>
        <v>50.206000000000003</v>
      </c>
      <c r="J11" s="14">
        <f t="shared" si="0"/>
        <v>100.63065222222222</v>
      </c>
      <c r="L11" s="12">
        <f>Test!B81</f>
        <v>0</v>
      </c>
      <c r="M11" s="13">
        <f>Test!C81</f>
        <v>0</v>
      </c>
      <c r="N11" s="13">
        <f>Test!D81</f>
        <v>0</v>
      </c>
      <c r="O11" s="13">
        <f>Test!E81</f>
        <v>0</v>
      </c>
      <c r="P11" s="13">
        <f>Test!F81</f>
        <v>0</v>
      </c>
      <c r="Q11" s="13">
        <f>Test!G81</f>
        <v>0</v>
      </c>
      <c r="R11" s="14">
        <f t="shared" si="1"/>
        <v>0</v>
      </c>
      <c r="S11" s="17">
        <f t="shared" si="2"/>
        <v>0</v>
      </c>
      <c r="T11" s="18">
        <f t="shared" si="2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Reference!B82</f>
        <v>19082.804</v>
      </c>
      <c r="E12" s="18">
        <f>Reference!C82</f>
        <v>37.168199999999999</v>
      </c>
      <c r="F12" s="18">
        <f>Reference!D82</f>
        <v>37.806600000000003</v>
      </c>
      <c r="G12" s="18">
        <f>Reference!E82</f>
        <v>39.996299999999998</v>
      </c>
      <c r="H12" s="18">
        <f>Reference!F82</f>
        <v>200410.31099999999</v>
      </c>
      <c r="I12" s="18">
        <f>Reference!G82</f>
        <v>33.661000000000001</v>
      </c>
      <c r="J12" s="19">
        <f t="shared" si="0"/>
        <v>55.669530833333333</v>
      </c>
      <c r="L12" s="17">
        <f>Test!B82</f>
        <v>0</v>
      </c>
      <c r="M12" s="18">
        <f>Test!C82</f>
        <v>0</v>
      </c>
      <c r="N12" s="18">
        <f>Test!D82</f>
        <v>0</v>
      </c>
      <c r="O12" s="18">
        <f>Test!E82</f>
        <v>0</v>
      </c>
      <c r="P12" s="18">
        <f>Test!F82</f>
        <v>0</v>
      </c>
      <c r="Q12" s="18">
        <f>Test!G82</f>
        <v>0</v>
      </c>
      <c r="R12" s="19">
        <f t="shared" si="1"/>
        <v>0</v>
      </c>
      <c r="S12" s="17">
        <f t="shared" si="2"/>
        <v>0</v>
      </c>
      <c r="T12" s="18">
        <f t="shared" si="2"/>
        <v>0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9417.2119999999995</v>
      </c>
      <c r="E13" s="18">
        <f>Reference!C83</f>
        <v>35.775300000000001</v>
      </c>
      <c r="F13" s="18">
        <f>Reference!D83</f>
        <v>35.6111</v>
      </c>
      <c r="G13" s="18">
        <f>Reference!E83</f>
        <v>38.657299999999999</v>
      </c>
      <c r="H13" s="18">
        <f>Reference!F83</f>
        <v>116392.277</v>
      </c>
      <c r="I13" s="18">
        <f>Reference!G83</f>
        <v>29.315000000000001</v>
      </c>
      <c r="J13" s="19">
        <f t="shared" si="0"/>
        <v>32.331188055555558</v>
      </c>
      <c r="L13" s="17">
        <f>Test!B83</f>
        <v>0</v>
      </c>
      <c r="M13" s="18">
        <f>Test!C83</f>
        <v>0</v>
      </c>
      <c r="N13" s="18">
        <f>Test!D83</f>
        <v>0</v>
      </c>
      <c r="O13" s="18">
        <f>Test!E83</f>
        <v>0</v>
      </c>
      <c r="P13" s="18">
        <f>Test!F83</f>
        <v>0</v>
      </c>
      <c r="Q13" s="18">
        <f>Test!G83</f>
        <v>0</v>
      </c>
      <c r="R13" s="19">
        <f t="shared" si="1"/>
        <v>0</v>
      </c>
      <c r="S13" s="17">
        <f t="shared" si="2"/>
        <v>0</v>
      </c>
      <c r="T13" s="18">
        <f t="shared" si="2"/>
        <v>0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4769.5159999999996</v>
      </c>
      <c r="E14" s="23">
        <f>Reference!C84</f>
        <v>33.930199999999999</v>
      </c>
      <c r="F14" s="23">
        <f>Reference!D84</f>
        <v>33.7361</v>
      </c>
      <c r="G14" s="23">
        <f>Reference!E84</f>
        <v>37.198700000000002</v>
      </c>
      <c r="H14" s="23">
        <f>Reference!F84</f>
        <v>71752.096000000005</v>
      </c>
      <c r="I14" s="23">
        <f>Reference!G84</f>
        <v>25.934000000000001</v>
      </c>
      <c r="J14" s="24">
        <f t="shared" si="0"/>
        <v>19.931137777777778</v>
      </c>
      <c r="L14" s="22">
        <f>Test!B84</f>
        <v>0</v>
      </c>
      <c r="M14" s="23">
        <f>Test!C84</f>
        <v>0</v>
      </c>
      <c r="N14" s="23">
        <f>Test!D84</f>
        <v>0</v>
      </c>
      <c r="O14" s="23">
        <f>Test!E84</f>
        <v>0</v>
      </c>
      <c r="P14" s="23">
        <f>Test!F84</f>
        <v>0</v>
      </c>
      <c r="Q14" s="23">
        <f>Test!G84</f>
        <v>0</v>
      </c>
      <c r="R14" s="24">
        <f t="shared" si="1"/>
        <v>0</v>
      </c>
      <c r="S14" s="17">
        <f t="shared" si="2"/>
        <v>0</v>
      </c>
      <c r="T14" s="18">
        <f t="shared" si="2"/>
        <v>0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25723.46</v>
      </c>
      <c r="E15" s="13">
        <f>Reference!C85</f>
        <v>37.6023</v>
      </c>
      <c r="F15" s="13">
        <f>Reference!D85</f>
        <v>45.135100000000001</v>
      </c>
      <c r="G15" s="13">
        <f>Reference!E85</f>
        <v>42.770200000000003</v>
      </c>
      <c r="H15" s="13">
        <f>Reference!F85</f>
        <v>513488.49</v>
      </c>
      <c r="I15" s="13">
        <f>Reference!G85</f>
        <v>66.88</v>
      </c>
      <c r="J15" s="14">
        <f>H15/3600</f>
        <v>142.63569166666667</v>
      </c>
      <c r="L15" s="12">
        <f>Test!B85</f>
        <v>0</v>
      </c>
      <c r="M15" s="13">
        <f>Test!C85</f>
        <v>0</v>
      </c>
      <c r="N15" s="13">
        <f>Test!D85</f>
        <v>0</v>
      </c>
      <c r="O15" s="13">
        <f>Test!E85</f>
        <v>0</v>
      </c>
      <c r="P15" s="13">
        <f>Test!F85</f>
        <v>0</v>
      </c>
      <c r="Q15" s="13">
        <f>Test!G85</f>
        <v>0</v>
      </c>
      <c r="R15" s="14">
        <f>P15/3600</f>
        <v>0</v>
      </c>
      <c r="S15" s="17">
        <f>P15/H15</f>
        <v>0</v>
      </c>
      <c r="T15" s="18">
        <f>Q15/I15</f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Reference!B86</f>
        <v>9308.5519999999997</v>
      </c>
      <c r="E16" s="18">
        <f>Reference!C86</f>
        <v>37.032400000000003</v>
      </c>
      <c r="F16" s="18">
        <f>Reference!D86</f>
        <v>44.515999999999998</v>
      </c>
      <c r="G16" s="18">
        <f>Reference!E86</f>
        <v>42.084099999999999</v>
      </c>
      <c r="H16" s="18">
        <f>Reference!F86</f>
        <v>234792.58799999999</v>
      </c>
      <c r="I16" s="18">
        <f>Reference!G86</f>
        <v>56.377000000000002</v>
      </c>
      <c r="J16" s="19">
        <f t="shared" ref="J16:J26" si="3">H16/3600</f>
        <v>65.220163333333332</v>
      </c>
      <c r="L16" s="17">
        <f>Test!B86</f>
        <v>0</v>
      </c>
      <c r="M16" s="18">
        <f>Test!C86</f>
        <v>0</v>
      </c>
      <c r="N16" s="18">
        <f>Test!D86</f>
        <v>0</v>
      </c>
      <c r="O16" s="18">
        <f>Test!E86</f>
        <v>0</v>
      </c>
      <c r="P16" s="18">
        <f>Test!F86</f>
        <v>0</v>
      </c>
      <c r="Q16" s="18">
        <f>Test!G86</f>
        <v>0</v>
      </c>
      <c r="R16" s="19">
        <f t="shared" ref="R16:R26" si="4">P16/3600</f>
        <v>0</v>
      </c>
      <c r="S16" s="17">
        <f t="shared" ref="S16:S26" si="5">P16/H16</f>
        <v>0</v>
      </c>
      <c r="T16" s="18">
        <f t="shared" ref="T16:T26" si="6">Q16/I16</f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4592.1440000000002</v>
      </c>
      <c r="E17" s="18">
        <f>Reference!C87</f>
        <v>36.162999999999997</v>
      </c>
      <c r="F17" s="18">
        <f>Reference!D87</f>
        <v>43.590499999999999</v>
      </c>
      <c r="G17" s="18">
        <f>Reference!E87</f>
        <v>41.0931</v>
      </c>
      <c r="H17" s="18">
        <f>Reference!F87</f>
        <v>115779.193</v>
      </c>
      <c r="I17" s="18">
        <f>Reference!G87</f>
        <v>45.216000000000001</v>
      </c>
      <c r="J17" s="19">
        <f t="shared" si="3"/>
        <v>32.160886944444442</v>
      </c>
      <c r="L17" s="17">
        <f>Test!B87</f>
        <v>0</v>
      </c>
      <c r="M17" s="18">
        <f>Test!C87</f>
        <v>0</v>
      </c>
      <c r="N17" s="18">
        <f>Test!D87</f>
        <v>0</v>
      </c>
      <c r="O17" s="18">
        <f>Test!E87</f>
        <v>0</v>
      </c>
      <c r="P17" s="18">
        <f>Test!F87</f>
        <v>0</v>
      </c>
      <c r="Q17" s="18">
        <f>Test!G87</f>
        <v>0</v>
      </c>
      <c r="R17" s="19">
        <f t="shared" si="4"/>
        <v>0</v>
      </c>
      <c r="S17" s="17">
        <f t="shared" si="5"/>
        <v>0</v>
      </c>
      <c r="T17" s="18">
        <f t="shared" si="6"/>
        <v>0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2227.0039999999999</v>
      </c>
      <c r="E18" s="23">
        <f>Reference!C88</f>
        <v>34.677500000000002</v>
      </c>
      <c r="F18" s="23">
        <f>Reference!D88</f>
        <v>42.279200000000003</v>
      </c>
      <c r="G18" s="23">
        <f>Reference!E88</f>
        <v>39.825499999999998</v>
      </c>
      <c r="H18" s="23">
        <f>Reference!F88</f>
        <v>58463.069000000003</v>
      </c>
      <c r="I18" s="23">
        <f>Reference!G88</f>
        <v>39.610999999999997</v>
      </c>
      <c r="J18" s="24">
        <f t="shared" si="3"/>
        <v>16.239741388888891</v>
      </c>
      <c r="L18" s="22">
        <f>Test!B88</f>
        <v>2200.46</v>
      </c>
      <c r="M18" s="23">
        <f>Test!C88</f>
        <v>34.701799999999999</v>
      </c>
      <c r="N18" s="23">
        <f>Test!D88</f>
        <v>42.3125</v>
      </c>
      <c r="O18" s="23">
        <f>Test!E88</f>
        <v>39.845300000000002</v>
      </c>
      <c r="P18" s="23">
        <f>Test!F88</f>
        <v>64329.911999999997</v>
      </c>
      <c r="Q18" s="23">
        <f>Test!G88</f>
        <v>41.834000000000003</v>
      </c>
      <c r="R18" s="24">
        <f t="shared" si="4"/>
        <v>17.869419999999998</v>
      </c>
      <c r="S18" s="17">
        <f t="shared" si="5"/>
        <v>1.1003512661984951</v>
      </c>
      <c r="T18" s="18">
        <f t="shared" si="6"/>
        <v>1.0561207745323271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10121.992</v>
      </c>
      <c r="E19" s="13">
        <f>Reference!C89</f>
        <v>37.966999999999999</v>
      </c>
      <c r="F19" s="13">
        <f>Reference!D89</f>
        <v>39.735999999999997</v>
      </c>
      <c r="G19" s="13">
        <f>Reference!E89</f>
        <v>43.0854</v>
      </c>
      <c r="H19" s="13">
        <f>Reference!F89</f>
        <v>107102.598</v>
      </c>
      <c r="I19" s="13">
        <f>Reference!G89</f>
        <v>14.057</v>
      </c>
      <c r="J19" s="14">
        <f t="shared" si="3"/>
        <v>29.750721666666667</v>
      </c>
      <c r="L19" s="12">
        <f>Test!B89</f>
        <v>10049.26</v>
      </c>
      <c r="M19" s="13">
        <f>Test!C89</f>
        <v>37.979700000000001</v>
      </c>
      <c r="N19" s="13">
        <f>Test!D89</f>
        <v>39.720999999999997</v>
      </c>
      <c r="O19" s="13">
        <f>Test!E89</f>
        <v>43.091799999999999</v>
      </c>
      <c r="P19" s="13">
        <f>Test!F89</f>
        <v>105508.677</v>
      </c>
      <c r="Q19" s="13">
        <f>Test!G89</f>
        <v>13.365</v>
      </c>
      <c r="R19" s="14">
        <f t="shared" si="4"/>
        <v>29.307965833333331</v>
      </c>
      <c r="S19" s="12">
        <f t="shared" si="5"/>
        <v>0.98511781198809012</v>
      </c>
      <c r="T19" s="13">
        <f t="shared" si="6"/>
        <v>0.95077185743757553</v>
      </c>
      <c r="U19" s="90"/>
      <c r="V19" s="37">
        <f>bdrate($D19:$D22,E19:E22,$L19:$L22,M19:M22)</f>
        <v>-1.7431216533791871E-2</v>
      </c>
      <c r="W19" s="42">
        <f>bdrate($D19:$D22,F19:F22,$L19:$L22,N19:N22)</f>
        <v>-7.1677349430027126E-3</v>
      </c>
      <c r="X19" s="42">
        <f>bdrate($D19:$D22,G19:G22,$L19:$L22,O19:O22)</f>
        <v>-1.2855639958486931E-2</v>
      </c>
      <c r="Y19" s="40">
        <f>bdrateOld($D19:$D22,E19:E22,$L19:$L22,M19:M22)</f>
        <v>-1.7141931896623164E-2</v>
      </c>
      <c r="Z19" s="44">
        <f>bdrateOld($D19:$D22,F19:F22,$L19:$L22,N19:N22)</f>
        <v>-5.1144557674346336E-3</v>
      </c>
      <c r="AA19" s="45">
        <f>bdrateOld($D19:$D22,G19:G22,$L19:$L22,O19:O22)</f>
        <v>-1.326507156012291E-2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4756.3879999999999</v>
      </c>
      <c r="E20" s="18">
        <f>Reference!C90</f>
        <v>36.863300000000002</v>
      </c>
      <c r="F20" s="18">
        <f>Reference!D90</f>
        <v>39.1873</v>
      </c>
      <c r="G20" s="18">
        <f>Reference!E90</f>
        <v>41.976399999999998</v>
      </c>
      <c r="H20" s="18">
        <f>Reference!F90</f>
        <v>58604.949000000001</v>
      </c>
      <c r="I20" s="18">
        <f>Reference!G90</f>
        <v>11.212999999999999</v>
      </c>
      <c r="J20" s="19">
        <f t="shared" si="3"/>
        <v>16.279152499999999</v>
      </c>
      <c r="L20" s="17">
        <f>Test!B90</f>
        <v>4717.1279999999997</v>
      </c>
      <c r="M20" s="18">
        <f>Test!C90</f>
        <v>36.881100000000004</v>
      </c>
      <c r="N20" s="18">
        <f>Test!D90</f>
        <v>39.189599999999999</v>
      </c>
      <c r="O20" s="18">
        <f>Test!E90</f>
        <v>41.972900000000003</v>
      </c>
      <c r="P20" s="18">
        <f>Test!F90</f>
        <v>63385.701999999997</v>
      </c>
      <c r="Q20" s="18">
        <f>Test!G90</f>
        <v>11.445</v>
      </c>
      <c r="R20" s="19">
        <f t="shared" si="4"/>
        <v>17.607139444444442</v>
      </c>
      <c r="S20" s="17">
        <f t="shared" si="5"/>
        <v>1.0815759262925047</v>
      </c>
      <c r="T20" s="18">
        <f t="shared" si="6"/>
        <v>1.0206902702220637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2411.4279999999999</v>
      </c>
      <c r="E21" s="18">
        <f>Reference!C91</f>
        <v>35.267699999999998</v>
      </c>
      <c r="F21" s="18">
        <f>Reference!D91</f>
        <v>38.464399999999998</v>
      </c>
      <c r="G21" s="18">
        <f>Reference!E91</f>
        <v>40.590000000000003</v>
      </c>
      <c r="H21" s="18">
        <f>Reference!F91</f>
        <v>33425.214999999997</v>
      </c>
      <c r="I21" s="18">
        <f>Reference!G91</f>
        <v>9.8360000000000003</v>
      </c>
      <c r="J21" s="19">
        <f t="shared" si="3"/>
        <v>9.2847819444444433</v>
      </c>
      <c r="L21" s="17">
        <f>Test!B91</f>
        <v>2398.3440000000001</v>
      </c>
      <c r="M21" s="18">
        <f>Test!C91</f>
        <v>35.2973</v>
      </c>
      <c r="N21" s="18">
        <f>Test!D91</f>
        <v>38.465499999999999</v>
      </c>
      <c r="O21" s="18">
        <f>Test!E91</f>
        <v>40.6023</v>
      </c>
      <c r="P21" s="18">
        <f>Test!F91</f>
        <v>37687.055999999997</v>
      </c>
      <c r="Q21" s="18">
        <f>Test!G91</f>
        <v>10.443</v>
      </c>
      <c r="R21" s="19">
        <f t="shared" si="4"/>
        <v>10.468626666666665</v>
      </c>
      <c r="S21" s="17">
        <f t="shared" si="5"/>
        <v>1.1275037722270447</v>
      </c>
      <c r="T21" s="18">
        <f t="shared" si="6"/>
        <v>1.0617120780805205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1131.104</v>
      </c>
      <c r="E22" s="23">
        <f>Reference!C92</f>
        <v>33.015700000000002</v>
      </c>
      <c r="F22" s="23">
        <f>Reference!D92</f>
        <v>37.372999999999998</v>
      </c>
      <c r="G22" s="23">
        <f>Reference!E92</f>
        <v>38.872100000000003</v>
      </c>
      <c r="H22" s="23">
        <f>Reference!F92</f>
        <v>17948.413</v>
      </c>
      <c r="I22" s="23">
        <f>Reference!G92</f>
        <v>8.7330000000000005</v>
      </c>
      <c r="J22" s="24">
        <f t="shared" si="3"/>
        <v>4.9856702777777775</v>
      </c>
      <c r="L22" s="22">
        <f>Test!B92</f>
        <v>1120.44</v>
      </c>
      <c r="M22" s="23">
        <f>Test!C92</f>
        <v>33.049100000000003</v>
      </c>
      <c r="N22" s="23">
        <f>Test!D92</f>
        <v>37.382399999999997</v>
      </c>
      <c r="O22" s="23">
        <f>Test!E92</f>
        <v>38.925899999999999</v>
      </c>
      <c r="P22" s="23">
        <f>Test!F92</f>
        <v>20626.091</v>
      </c>
      <c r="Q22" s="23">
        <f>Test!G92</f>
        <v>9.5310000000000006</v>
      </c>
      <c r="R22" s="24">
        <f t="shared" si="4"/>
        <v>5.7294697222222224</v>
      </c>
      <c r="S22" s="17">
        <f t="shared" si="5"/>
        <v>1.1491874518376639</v>
      </c>
      <c r="T22" s="18">
        <f t="shared" si="6"/>
        <v>1.0913775334936449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8878.0360000000001</v>
      </c>
      <c r="E23" s="13">
        <f>Reference!C93</f>
        <v>38.895800000000001</v>
      </c>
      <c r="F23" s="13">
        <f>Reference!D93</f>
        <v>43.937199999999997</v>
      </c>
      <c r="G23" s="13">
        <f>Reference!E93</f>
        <v>45.041400000000003</v>
      </c>
      <c r="H23" s="13">
        <f>Reference!F93</f>
        <v>106255.061</v>
      </c>
      <c r="I23" s="13">
        <f>Reference!G93</f>
        <v>15.371</v>
      </c>
      <c r="J23" s="14">
        <f t="shared" si="3"/>
        <v>29.515294722222222</v>
      </c>
      <c r="L23" s="12">
        <f>Test!B93</f>
        <v>8813.2880000000005</v>
      </c>
      <c r="M23" s="13">
        <f>Test!C93</f>
        <v>38.901699999999998</v>
      </c>
      <c r="N23" s="13">
        <f>Test!D93</f>
        <v>43.935899999999997</v>
      </c>
      <c r="O23" s="13">
        <f>Test!E93</f>
        <v>45.039900000000003</v>
      </c>
      <c r="P23" s="13">
        <f>Test!F93</f>
        <v>107753.804</v>
      </c>
      <c r="Q23" s="13">
        <f>Test!G93</f>
        <v>14.877000000000001</v>
      </c>
      <c r="R23" s="14">
        <f t="shared" si="4"/>
        <v>29.931612222222224</v>
      </c>
      <c r="S23" s="17">
        <f t="shared" si="5"/>
        <v>1.0141051446010652</v>
      </c>
      <c r="T23" s="18">
        <f t="shared" si="6"/>
        <v>0.96786155747836833</v>
      </c>
      <c r="U23" s="91"/>
      <c r="V23" s="37">
        <f>bdrate($D23:$D26,E23:E26,$L23:$L26,M23:M26)</f>
        <v>-1.8078002568736817E-2</v>
      </c>
      <c r="W23" s="42">
        <f>bdrate($D23:$D26,F23:F26,$L23:$L26,N23:N26)</f>
        <v>-9.9001673898783116E-3</v>
      </c>
      <c r="X23" s="42">
        <f>bdrate($D23:$D26,G23:G26,$L23:$L26,O23:O26)</f>
        <v>-2.1636042423758828E-2</v>
      </c>
      <c r="Y23" s="40">
        <f>bdrateOld($D23:$D26,E23:E26,$L23:$L26,M23:M26)</f>
        <v>-1.8053939605936375E-2</v>
      </c>
      <c r="Z23" s="44">
        <f>bdrateOld($D23:$D26,F23:F26,$L23:$L26,N23:N26)</f>
        <v>-9.6859974383418646E-3</v>
      </c>
      <c r="AA23" s="45">
        <f>bdrateOld($D23:$D26,G23:G26,$L23:$L26,O23:O26)</f>
        <v>-2.1719893974681104E-2</v>
      </c>
    </row>
    <row r="24" spans="1:27" x14ac:dyDescent="0.2">
      <c r="A24" s="34"/>
      <c r="B24" s="85"/>
      <c r="C24" s="16">
        <v>32</v>
      </c>
      <c r="D24" s="17">
        <f>Reference!B94</f>
        <v>4425.6120000000001</v>
      </c>
      <c r="E24" s="18">
        <f>Reference!C94</f>
        <v>37.839599999999997</v>
      </c>
      <c r="F24" s="18">
        <f>Reference!D94</f>
        <v>43.091799999999999</v>
      </c>
      <c r="G24" s="18">
        <f>Reference!E94</f>
        <v>43.599499999999999</v>
      </c>
      <c r="H24" s="18">
        <f>Reference!F94</f>
        <v>62392.987999999998</v>
      </c>
      <c r="I24" s="18">
        <f>Reference!G94</f>
        <v>13.189</v>
      </c>
      <c r="J24" s="19">
        <f t="shared" si="3"/>
        <v>17.331385555555556</v>
      </c>
      <c r="L24" s="17">
        <f>Test!B94</f>
        <v>4393.3</v>
      </c>
      <c r="M24" s="18">
        <f>Test!C94</f>
        <v>37.856400000000001</v>
      </c>
      <c r="N24" s="18">
        <f>Test!D94</f>
        <v>43.0976</v>
      </c>
      <c r="O24" s="18">
        <f>Test!E94</f>
        <v>43.616300000000003</v>
      </c>
      <c r="P24" s="18">
        <f>Test!F94</f>
        <v>67371.070000000007</v>
      </c>
      <c r="Q24" s="18">
        <f>Test!G94</f>
        <v>13.722</v>
      </c>
      <c r="R24" s="19">
        <f t="shared" si="4"/>
        <v>18.714186111111115</v>
      </c>
      <c r="S24" s="17">
        <f t="shared" si="5"/>
        <v>1.0797859208153329</v>
      </c>
      <c r="T24" s="18">
        <f t="shared" si="6"/>
        <v>1.0404124649328985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2252.9679999999998</v>
      </c>
      <c r="E25" s="18">
        <f>Reference!C95</f>
        <v>36.328499999999998</v>
      </c>
      <c r="F25" s="18">
        <f>Reference!D95</f>
        <v>41.9848</v>
      </c>
      <c r="G25" s="18">
        <f>Reference!E95</f>
        <v>41.924700000000001</v>
      </c>
      <c r="H25" s="18">
        <f>Reference!F95</f>
        <v>34695.017</v>
      </c>
      <c r="I25" s="18">
        <f>Reference!G95</f>
        <v>11.497999999999999</v>
      </c>
      <c r="J25" s="19">
        <f t="shared" si="3"/>
        <v>9.6375047222222214</v>
      </c>
      <c r="L25" s="17">
        <f>Test!B95</f>
        <v>2236.944</v>
      </c>
      <c r="M25" s="18">
        <f>Test!C95</f>
        <v>36.360100000000003</v>
      </c>
      <c r="N25" s="18">
        <f>Test!D95</f>
        <v>41.990099999999998</v>
      </c>
      <c r="O25" s="18">
        <f>Test!E95</f>
        <v>41.975000000000001</v>
      </c>
      <c r="P25" s="18">
        <f>Test!F95</f>
        <v>36880.940999999999</v>
      </c>
      <c r="Q25" s="18">
        <f>Test!G95</f>
        <v>11.941000000000001</v>
      </c>
      <c r="R25" s="19">
        <f t="shared" si="4"/>
        <v>10.244705833333333</v>
      </c>
      <c r="S25" s="17">
        <f t="shared" si="5"/>
        <v>1.063003975470022</v>
      </c>
      <c r="T25" s="18">
        <f t="shared" si="6"/>
        <v>1.0385284397286485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1110.5239999999999</v>
      </c>
      <c r="E26" s="23">
        <f>Reference!C96</f>
        <v>34.250100000000003</v>
      </c>
      <c r="F26" s="23">
        <f>Reference!D96</f>
        <v>40.631100000000004</v>
      </c>
      <c r="G26" s="23">
        <f>Reference!E96</f>
        <v>40.075099999999999</v>
      </c>
      <c r="H26" s="23">
        <f>Reference!F96</f>
        <v>18468.429</v>
      </c>
      <c r="I26" s="23">
        <f>Reference!G96</f>
        <v>9.2609999999999992</v>
      </c>
      <c r="J26" s="24">
        <f t="shared" si="3"/>
        <v>5.1301191666666668</v>
      </c>
      <c r="L26" s="22">
        <f>Test!B96</f>
        <v>1102.78</v>
      </c>
      <c r="M26" s="23">
        <f>Test!C96</f>
        <v>34.294499999999999</v>
      </c>
      <c r="N26" s="23">
        <f>Test!D96</f>
        <v>40.634799999999998</v>
      </c>
      <c r="O26" s="23">
        <f>Test!E96</f>
        <v>40.153100000000002</v>
      </c>
      <c r="P26" s="23">
        <f>Test!F96</f>
        <v>20895.306</v>
      </c>
      <c r="Q26" s="23">
        <f>Test!G96</f>
        <v>10.393000000000001</v>
      </c>
      <c r="R26" s="24">
        <f t="shared" si="4"/>
        <v>5.8042516666666666</v>
      </c>
      <c r="S26" s="17">
        <f t="shared" si="5"/>
        <v>1.131406791557636</v>
      </c>
      <c r="T26" s="18">
        <f t="shared" si="6"/>
        <v>1.1222330201922039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6957.2039999999997</v>
      </c>
      <c r="E27" s="13">
        <f>Reference!C97</f>
        <v>39.639299999999999</v>
      </c>
      <c r="F27" s="13">
        <f>Reference!D97</f>
        <v>43.657699999999998</v>
      </c>
      <c r="G27" s="13">
        <f>Reference!E97</f>
        <v>44.8583</v>
      </c>
      <c r="H27" s="13">
        <f>Reference!F97</f>
        <v>95487.543000000005</v>
      </c>
      <c r="I27" s="13">
        <f>Reference!G97</f>
        <v>15.986000000000001</v>
      </c>
      <c r="J27" s="14">
        <f>H27/3600</f>
        <v>26.524317500000002</v>
      </c>
      <c r="L27" s="12">
        <f>Test!B97</f>
        <v>6898.6480000000001</v>
      </c>
      <c r="M27" s="13">
        <f>Test!C97</f>
        <v>39.6569</v>
      </c>
      <c r="N27" s="13">
        <f>Test!D97</f>
        <v>43.66</v>
      </c>
      <c r="O27" s="13">
        <f>Test!E97</f>
        <v>44.867199999999997</v>
      </c>
      <c r="P27" s="13">
        <f>Test!F97</f>
        <v>100181.37699999999</v>
      </c>
      <c r="Q27" s="13">
        <f>Test!G97</f>
        <v>15.750999999999999</v>
      </c>
      <c r="R27" s="14">
        <f>P27/3600</f>
        <v>27.828160277777776</v>
      </c>
      <c r="S27" s="17">
        <f t="shared" si="2"/>
        <v>1.0491565062052124</v>
      </c>
      <c r="T27" s="18">
        <f t="shared" si="2"/>
        <v>0.98529963718253466</v>
      </c>
      <c r="U27" s="91"/>
      <c r="V27" s="37">
        <f>bdrate($D27:$D30,E27:E30,$L27:$L30,M27:M30)</f>
        <v>-1.6173152345591246E-2</v>
      </c>
      <c r="W27" s="42">
        <f>bdrate($D27:$D30,F27:F30,$L27:$L30,N27:N30)</f>
        <v>-1.8762357057168666E-2</v>
      </c>
      <c r="X27" s="43">
        <f>bdrate($D27:$D30,G27:G30,$L27:$L30,O27:O30)</f>
        <v>-9.1781828952147704E-3</v>
      </c>
      <c r="Y27" s="37">
        <f>bdrateOld($D27:$D30,E27:E30,$L27:$L30,M27:M30)</f>
        <v>-1.639577455623964E-2</v>
      </c>
      <c r="Z27" s="42">
        <f>bdrateOld($D27:$D30,F27:F30,$L27:$L30,N27:N30)</f>
        <v>-1.9762152876022787E-2</v>
      </c>
      <c r="AA27" s="43">
        <f>bdrateOld($D27:$D30,G27:G30,$L27:$L30,O27:O30)</f>
        <v>-9.0108690467129993E-3</v>
      </c>
    </row>
    <row r="28" spans="1:27" x14ac:dyDescent="0.2">
      <c r="A28" s="16"/>
      <c r="B28" s="85"/>
      <c r="C28" s="16">
        <v>48</v>
      </c>
      <c r="D28" s="17">
        <f>Reference!B98</f>
        <v>3261.6840000000002</v>
      </c>
      <c r="E28" s="18">
        <f>Reference!C98</f>
        <v>38.438400000000001</v>
      </c>
      <c r="F28" s="18">
        <f>Reference!D98</f>
        <v>42.892600000000002</v>
      </c>
      <c r="G28" s="18">
        <f>Reference!E98</f>
        <v>44.179499999999997</v>
      </c>
      <c r="H28" s="18">
        <f>Reference!F98</f>
        <v>53610.455999999998</v>
      </c>
      <c r="I28" s="18">
        <f>Reference!G98</f>
        <v>13.872999999999999</v>
      </c>
      <c r="J28" s="19">
        <f t="shared" ref="J28:J46" si="7">H28/3600</f>
        <v>14.891793333333332</v>
      </c>
      <c r="L28" s="17">
        <f>Test!B98</f>
        <v>3244.9720000000002</v>
      </c>
      <c r="M28" s="18">
        <f>Test!C98</f>
        <v>38.460299999999997</v>
      </c>
      <c r="N28" s="18">
        <f>Test!D98</f>
        <v>42.894500000000001</v>
      </c>
      <c r="O28" s="18">
        <f>Test!E98</f>
        <v>44.1907</v>
      </c>
      <c r="P28" s="18">
        <f>Test!F98</f>
        <v>60119.913</v>
      </c>
      <c r="Q28" s="18">
        <f>Test!G98</f>
        <v>13.997</v>
      </c>
      <c r="R28" s="19">
        <f t="shared" ref="R28:R46" si="8">P28/3600</f>
        <v>16.699975833333333</v>
      </c>
      <c r="S28" s="17">
        <f t="shared" si="2"/>
        <v>1.1214214070479087</v>
      </c>
      <c r="T28" s="18">
        <f t="shared" si="2"/>
        <v>1.0089382253297774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1553.9760000000001</v>
      </c>
      <c r="E29" s="18">
        <f>Reference!C99</f>
        <v>36.733800000000002</v>
      </c>
      <c r="F29" s="18">
        <f>Reference!D99</f>
        <v>41.861899999999999</v>
      </c>
      <c r="G29" s="18">
        <f>Reference!E99</f>
        <v>43.180300000000003</v>
      </c>
      <c r="H29" s="18">
        <f>Reference!F99</f>
        <v>28577.054</v>
      </c>
      <c r="I29" s="18">
        <f>Reference!G99</f>
        <v>12.423999999999999</v>
      </c>
      <c r="J29" s="19">
        <f t="shared" si="7"/>
        <v>7.938070555555556</v>
      </c>
      <c r="L29" s="17">
        <f>Test!B99</f>
        <v>1544.116</v>
      </c>
      <c r="M29" s="18">
        <f>Test!C99</f>
        <v>36.756</v>
      </c>
      <c r="N29" s="18">
        <f>Test!D99</f>
        <v>41.892299999999999</v>
      </c>
      <c r="O29" s="18">
        <f>Test!E99</f>
        <v>43.175600000000003</v>
      </c>
      <c r="P29" s="18">
        <f>Test!F99</f>
        <v>33078.067000000003</v>
      </c>
      <c r="Q29" s="18">
        <f>Test!G99</f>
        <v>12.49</v>
      </c>
      <c r="R29" s="19">
        <f t="shared" si="8"/>
        <v>9.1883519444444453</v>
      </c>
      <c r="S29" s="17">
        <f t="shared" si="2"/>
        <v>1.1575044439500308</v>
      </c>
      <c r="T29" s="18">
        <f t="shared" si="2"/>
        <v>1.0053122987765615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696.34400000000005</v>
      </c>
      <c r="E30" s="23">
        <f>Reference!C100</f>
        <v>34.488399999999999</v>
      </c>
      <c r="F30" s="23">
        <f>Reference!D100</f>
        <v>40.581499999999998</v>
      </c>
      <c r="G30" s="23">
        <f>Reference!E100</f>
        <v>41.794600000000003</v>
      </c>
      <c r="H30" s="23">
        <f>Reference!F100</f>
        <v>14670.535</v>
      </c>
      <c r="I30" s="23">
        <f>Reference!G100</f>
        <v>10.013999999999999</v>
      </c>
      <c r="J30" s="24">
        <f t="shared" si="7"/>
        <v>4.0751486111111115</v>
      </c>
      <c r="L30" s="22">
        <f>Test!B100</f>
        <v>694.24400000000003</v>
      </c>
      <c r="M30" s="23">
        <f>Test!C100</f>
        <v>34.5304</v>
      </c>
      <c r="N30" s="23">
        <f>Test!D100</f>
        <v>40.616900000000001</v>
      </c>
      <c r="O30" s="23">
        <f>Test!E100</f>
        <v>41.811199999999999</v>
      </c>
      <c r="P30" s="23">
        <f>Test!F100</f>
        <v>17298.918000000001</v>
      </c>
      <c r="Q30" s="23">
        <f>Test!G100</f>
        <v>10.677</v>
      </c>
      <c r="R30" s="24">
        <f t="shared" si="8"/>
        <v>4.8052550000000007</v>
      </c>
      <c r="S30" s="17">
        <f t="shared" si="2"/>
        <v>1.1791606781893096</v>
      </c>
      <c r="T30" s="18">
        <f t="shared" si="2"/>
        <v>1.0662073097663272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5839.6840000000002</v>
      </c>
      <c r="E31" s="13">
        <f>Reference!C101</f>
        <v>44.793500000000002</v>
      </c>
      <c r="F31" s="13">
        <f>Reference!D101</f>
        <v>47.185099999999998</v>
      </c>
      <c r="G31" s="13">
        <f>Reference!E101</f>
        <v>48.126800000000003</v>
      </c>
      <c r="H31" s="13">
        <f>Reference!F101</f>
        <v>71479.941999999995</v>
      </c>
      <c r="I31" s="13">
        <f>Reference!G101</f>
        <v>15.644</v>
      </c>
      <c r="J31" s="14">
        <f t="shared" si="7"/>
        <v>19.855539444444442</v>
      </c>
      <c r="L31" s="12">
        <f>Test!B101</f>
        <v>5762.9080000000004</v>
      </c>
      <c r="M31" s="13">
        <f>Test!C101</f>
        <v>44.831499999999998</v>
      </c>
      <c r="N31" s="13">
        <f>Test!D101</f>
        <v>47.206800000000001</v>
      </c>
      <c r="O31" s="13">
        <f>Test!E101</f>
        <v>48.178800000000003</v>
      </c>
      <c r="P31" s="13">
        <f>Test!F101</f>
        <v>71738.732000000004</v>
      </c>
      <c r="Q31" s="13">
        <f>Test!G101</f>
        <v>15.714</v>
      </c>
      <c r="R31" s="14">
        <f t="shared" si="8"/>
        <v>19.927425555555555</v>
      </c>
      <c r="S31" s="17">
        <f t="shared" si="2"/>
        <v>1.0036204562113384</v>
      </c>
      <c r="T31" s="18">
        <f t="shared" si="2"/>
        <v>1.0044745589363335</v>
      </c>
      <c r="U31" s="91"/>
      <c r="V31" s="37">
        <f>bdrate($D31:$D34,E31:E34,$L31:$L34,M31:M34)</f>
        <v>-2.3545003129590403E-2</v>
      </c>
      <c r="W31" s="42">
        <f>bdrate($D31:$D34,F31:F34,$L31:$L34,N31:N34)</f>
        <v>-3.1500685680320051E-2</v>
      </c>
      <c r="X31" s="42">
        <f>bdrate($D31:$D34,G31:G34,$L31:$L34,O31:O34)</f>
        <v>-4.6272970153281023E-2</v>
      </c>
      <c r="Y31" s="40">
        <f>bdrateOld($D31:$D34,E31:E34,$L31:$L34,M31:M34)</f>
        <v>-2.3433386232333264E-2</v>
      </c>
      <c r="Z31" s="44">
        <f>bdrateOld($D31:$D34,F31:F34,$L31:$L34,N31:N34)</f>
        <v>-3.1430553710631082E-2</v>
      </c>
      <c r="AA31" s="45">
        <f>bdrateOld($D31:$D34,G31:G34,$L31:$L34,O31:O34)</f>
        <v>-4.6278091449841519E-2</v>
      </c>
    </row>
    <row r="32" spans="1:27" x14ac:dyDescent="0.2">
      <c r="A32" s="16"/>
      <c r="B32" s="85"/>
      <c r="C32" s="16">
        <v>48</v>
      </c>
      <c r="D32" s="17">
        <f>Reference!B102</f>
        <v>3569.0920000000001</v>
      </c>
      <c r="E32" s="18">
        <f>Reference!C102</f>
        <v>42.528599999999997</v>
      </c>
      <c r="F32" s="18">
        <f>Reference!D102</f>
        <v>45.587400000000002</v>
      </c>
      <c r="G32" s="18">
        <f>Reference!E102</f>
        <v>46.361699999999999</v>
      </c>
      <c r="H32" s="18">
        <f>Reference!F102</f>
        <v>49601.017</v>
      </c>
      <c r="I32" s="18">
        <f>Reference!G102</f>
        <v>14.037000000000001</v>
      </c>
      <c r="J32" s="19">
        <f t="shared" si="7"/>
        <v>13.778060277777778</v>
      </c>
      <c r="L32" s="17">
        <f>Test!B102</f>
        <v>3533.7440000000001</v>
      </c>
      <c r="M32" s="18">
        <f>Test!C102</f>
        <v>42.594099999999997</v>
      </c>
      <c r="N32" s="18">
        <f>Test!D102</f>
        <v>45.651699999999998</v>
      </c>
      <c r="O32" s="18">
        <f>Test!E102</f>
        <v>46.453899999999997</v>
      </c>
      <c r="P32" s="18">
        <f>Test!F102</f>
        <v>50537.139000000003</v>
      </c>
      <c r="Q32" s="18">
        <f>Test!G102</f>
        <v>14.365</v>
      </c>
      <c r="R32" s="19">
        <f t="shared" si="8"/>
        <v>14.038094166666667</v>
      </c>
      <c r="S32" s="17">
        <f t="shared" si="2"/>
        <v>1.0188730404459247</v>
      </c>
      <c r="T32" s="18">
        <f t="shared" si="2"/>
        <v>1.023366816271283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1977.576</v>
      </c>
      <c r="E33" s="18">
        <f>Reference!C103</f>
        <v>39.697800000000001</v>
      </c>
      <c r="F33" s="18">
        <f>Reference!D103</f>
        <v>43.926600000000001</v>
      </c>
      <c r="G33" s="18">
        <f>Reference!E103</f>
        <v>44.394199999999998</v>
      </c>
      <c r="H33" s="18">
        <f>Reference!F103</f>
        <v>30914.092000000001</v>
      </c>
      <c r="I33" s="18">
        <f>Reference!G103</f>
        <v>12.159000000000001</v>
      </c>
      <c r="J33" s="19">
        <f t="shared" si="7"/>
        <v>8.5872477777777778</v>
      </c>
      <c r="L33" s="17">
        <f>Test!B103</f>
        <v>1966.6759999999999</v>
      </c>
      <c r="M33" s="18">
        <f>Test!C103</f>
        <v>39.781300000000002</v>
      </c>
      <c r="N33" s="18">
        <f>Test!D103</f>
        <v>43.993899999999996</v>
      </c>
      <c r="O33" s="18">
        <f>Test!E103</f>
        <v>44.548200000000001</v>
      </c>
      <c r="P33" s="18">
        <f>Test!F103</f>
        <v>32999.968999999997</v>
      </c>
      <c r="Q33" s="18">
        <f>Test!G103</f>
        <v>12.978999999999999</v>
      </c>
      <c r="R33" s="19">
        <f t="shared" si="8"/>
        <v>9.1666580555555548</v>
      </c>
      <c r="S33" s="17">
        <f t="shared" si="2"/>
        <v>1.0674733386961519</v>
      </c>
      <c r="T33" s="18">
        <f t="shared" si="2"/>
        <v>1.0674397565589273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1001.704</v>
      </c>
      <c r="E34" s="23">
        <f>Reference!C104</f>
        <v>36.498699999999999</v>
      </c>
      <c r="F34" s="23">
        <f>Reference!D104</f>
        <v>42.246699999999997</v>
      </c>
      <c r="G34" s="23">
        <f>Reference!E104</f>
        <v>42.469499999999996</v>
      </c>
      <c r="H34" s="23">
        <f>Reference!F104</f>
        <v>17377.695</v>
      </c>
      <c r="I34" s="23">
        <f>Reference!G104</f>
        <v>9.9390000000000001</v>
      </c>
      <c r="J34" s="24">
        <f t="shared" si="7"/>
        <v>4.8271375000000001</v>
      </c>
      <c r="L34" s="22">
        <f>Test!B104</f>
        <v>996.67600000000004</v>
      </c>
      <c r="M34" s="23">
        <f>Test!C104</f>
        <v>36.602800000000002</v>
      </c>
      <c r="N34" s="23">
        <f>Test!D104</f>
        <v>42.348500000000001</v>
      </c>
      <c r="O34" s="23">
        <f>Test!E104</f>
        <v>42.644100000000002</v>
      </c>
      <c r="P34" s="23">
        <f>Test!F104</f>
        <v>18886.432000000001</v>
      </c>
      <c r="Q34" s="23">
        <f>Test!G104</f>
        <v>10.965999999999999</v>
      </c>
      <c r="R34" s="24">
        <f t="shared" si="8"/>
        <v>5.2462311111111113</v>
      </c>
      <c r="S34" s="17">
        <f t="shared" si="2"/>
        <v>1.0868203176543265</v>
      </c>
      <c r="T34" s="18">
        <f t="shared" si="2"/>
        <v>1.1033303149210181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4242.0479999999998</v>
      </c>
      <c r="E35" s="13">
        <f>Reference!C105</f>
        <v>38.523400000000002</v>
      </c>
      <c r="F35" s="13">
        <f>Reference!D105</f>
        <v>45.802700000000002</v>
      </c>
      <c r="G35" s="13">
        <f>Reference!E105</f>
        <v>46.016500000000001</v>
      </c>
      <c r="H35" s="13">
        <f>Reference!F105</f>
        <v>46358.197</v>
      </c>
      <c r="I35" s="13">
        <f>Reference!G105</f>
        <v>6.7830000000000004</v>
      </c>
      <c r="J35" s="14">
        <f t="shared" si="7"/>
        <v>12.877276944444445</v>
      </c>
      <c r="L35" s="12">
        <f>Test!B105</f>
        <v>4193.8559999999998</v>
      </c>
      <c r="M35" s="13">
        <f>Test!C105</f>
        <v>38.528300000000002</v>
      </c>
      <c r="N35" s="13">
        <f>Test!D105</f>
        <v>45.814900000000002</v>
      </c>
      <c r="O35" s="13">
        <f>Test!E105</f>
        <v>46.028599999999997</v>
      </c>
      <c r="P35" s="13">
        <f>Test!F105</f>
        <v>49638.125999999997</v>
      </c>
      <c r="Q35" s="13">
        <f>Test!G105</f>
        <v>6.49</v>
      </c>
      <c r="R35" s="14">
        <f t="shared" si="8"/>
        <v>13.788368333333333</v>
      </c>
      <c r="S35" s="12">
        <f t="shared" si="2"/>
        <v>1.0707518672479863</v>
      </c>
      <c r="T35" s="13">
        <f t="shared" si="2"/>
        <v>0.95680377414123541</v>
      </c>
      <c r="U35" s="90"/>
      <c r="V35" s="37">
        <f>bdrate($D35:$D38,E35:E38,$L35:$L38,M35:M38)</f>
        <v>-1.2770268384973638E-2</v>
      </c>
      <c r="W35" s="42">
        <f>bdrate($D35:$D38,F35:F38,$L35:$L38,N35:N38)</f>
        <v>-1.0308582106631548E-2</v>
      </c>
      <c r="X35" s="42">
        <f>bdrate($D35:$D38,G35:G38,$L35:$L38,O35:O38)</f>
        <v>-1.2807867640690085E-2</v>
      </c>
      <c r="Y35" s="40">
        <f>bdrateOld($D35:$D38,E35:E38,$L35:$L38,M35:M38)</f>
        <v>-1.2275696668626379E-2</v>
      </c>
      <c r="Z35" s="44">
        <f>bdrateOld($D35:$D38,F35:F38,$L35:$L38,N35:N38)</f>
        <v>-8.7820327467700299E-3</v>
      </c>
      <c r="AA35" s="45">
        <f>bdrateOld($D35:$D38,G35:G38,$L35:$L38,O35:O38)</f>
        <v>-1.3046776559740625E-2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1791.652</v>
      </c>
      <c r="E36" s="18">
        <f>Reference!C106</f>
        <v>36.910499999999999</v>
      </c>
      <c r="F36" s="18">
        <f>Reference!D106</f>
        <v>44.616799999999998</v>
      </c>
      <c r="G36" s="18">
        <f>Reference!E106</f>
        <v>44.8247</v>
      </c>
      <c r="H36" s="18">
        <f>Reference!F106</f>
        <v>23838.030999999999</v>
      </c>
      <c r="I36" s="18">
        <f>Reference!G106</f>
        <v>5.3890000000000002</v>
      </c>
      <c r="J36" s="19">
        <f t="shared" si="7"/>
        <v>6.6216752777777774</v>
      </c>
      <c r="L36" s="17">
        <f>Test!B106</f>
        <v>1776.068</v>
      </c>
      <c r="M36" s="18">
        <f>Test!C106</f>
        <v>36.929699999999997</v>
      </c>
      <c r="N36" s="18">
        <f>Test!D106</f>
        <v>44.6404</v>
      </c>
      <c r="O36" s="18">
        <f>Test!E106</f>
        <v>44.820500000000003</v>
      </c>
      <c r="P36" s="18">
        <f>Test!F106</f>
        <v>27306.136999999999</v>
      </c>
      <c r="Q36" s="18">
        <f>Test!G106</f>
        <v>5.4029999999999996</v>
      </c>
      <c r="R36" s="19">
        <f t="shared" si="8"/>
        <v>7.5850380555555557</v>
      </c>
      <c r="S36" s="17">
        <f t="shared" si="2"/>
        <v>1.1454862610087218</v>
      </c>
      <c r="T36" s="18">
        <f t="shared" si="2"/>
        <v>1.0025978845796992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818.88400000000001</v>
      </c>
      <c r="E37" s="18">
        <f>Reference!C107</f>
        <v>34.913800000000002</v>
      </c>
      <c r="F37" s="18">
        <f>Reference!D107</f>
        <v>43.143500000000003</v>
      </c>
      <c r="G37" s="18">
        <f>Reference!E107</f>
        <v>43.404000000000003</v>
      </c>
      <c r="H37" s="18">
        <f>Reference!F107</f>
        <v>12545.754000000001</v>
      </c>
      <c r="I37" s="18">
        <f>Reference!G107</f>
        <v>4.3979999999999997</v>
      </c>
      <c r="J37" s="19">
        <f t="shared" si="7"/>
        <v>3.4849316666666668</v>
      </c>
      <c r="L37" s="17">
        <f>Test!B107</f>
        <v>819</v>
      </c>
      <c r="M37" s="18">
        <f>Test!C107</f>
        <v>34.944800000000001</v>
      </c>
      <c r="N37" s="18">
        <f>Test!D107</f>
        <v>43.135399999999997</v>
      </c>
      <c r="O37" s="18">
        <f>Test!E107</f>
        <v>43.423299999999998</v>
      </c>
      <c r="P37" s="18">
        <f>Test!F107</f>
        <v>14890.583000000001</v>
      </c>
      <c r="Q37" s="18">
        <f>Test!G107</f>
        <v>4.8209999999999997</v>
      </c>
      <c r="R37" s="19">
        <f t="shared" si="8"/>
        <v>4.1362730555555558</v>
      </c>
      <c r="S37" s="17">
        <f t="shared" si="2"/>
        <v>1.1869021981460819</v>
      </c>
      <c r="T37" s="18">
        <f t="shared" si="2"/>
        <v>1.0961800818553888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393.8</v>
      </c>
      <c r="E38" s="23">
        <f>Reference!C108</f>
        <v>32.2988</v>
      </c>
      <c r="F38" s="23">
        <f>Reference!D108</f>
        <v>41.161999999999999</v>
      </c>
      <c r="G38" s="23">
        <f>Reference!E108</f>
        <v>41.6995</v>
      </c>
      <c r="H38" s="23">
        <f>Reference!F108</f>
        <v>6550.2060000000001</v>
      </c>
      <c r="I38" s="23">
        <f>Reference!G108</f>
        <v>3.7250000000000001</v>
      </c>
      <c r="J38" s="24">
        <f t="shared" si="7"/>
        <v>1.8195016666666668</v>
      </c>
      <c r="L38" s="22">
        <f>Test!B108</f>
        <v>392.02800000000002</v>
      </c>
      <c r="M38" s="23">
        <f>Test!C108</f>
        <v>32.324300000000001</v>
      </c>
      <c r="N38" s="23">
        <f>Test!D108</f>
        <v>41.2119</v>
      </c>
      <c r="O38" s="23">
        <f>Test!E108</f>
        <v>41.773400000000002</v>
      </c>
      <c r="P38" s="23">
        <f>Test!F108</f>
        <v>7836.8860000000004</v>
      </c>
      <c r="Q38" s="23">
        <f>Test!G108</f>
        <v>4.1369999999999996</v>
      </c>
      <c r="R38" s="24">
        <f t="shared" si="8"/>
        <v>2.1769127777777779</v>
      </c>
      <c r="S38" s="17">
        <f t="shared" si="2"/>
        <v>1.1964335167474123</v>
      </c>
      <c r="T38" s="18">
        <f t="shared" si="2"/>
        <v>1.1106040268456374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2508.0839999999998</v>
      </c>
      <c r="E39" s="13">
        <f>Reference!C109</f>
        <v>40.579599999999999</v>
      </c>
      <c r="F39" s="13">
        <f>Reference!D109</f>
        <v>46.006</v>
      </c>
      <c r="G39" s="13">
        <f>Reference!E109</f>
        <v>47.132300000000001</v>
      </c>
      <c r="H39" s="13">
        <f>Reference!F109</f>
        <v>36315.294000000002</v>
      </c>
      <c r="I39" s="13">
        <f>Reference!G109</f>
        <v>6.8970000000000002</v>
      </c>
      <c r="J39" s="14">
        <f t="shared" si="7"/>
        <v>10.087581666666667</v>
      </c>
      <c r="L39" s="12">
        <f>Test!B109</f>
        <v>2482.9760000000001</v>
      </c>
      <c r="M39" s="13">
        <f>Test!C109</f>
        <v>40.595799999999997</v>
      </c>
      <c r="N39" s="13">
        <f>Test!D109</f>
        <v>46.082799999999999</v>
      </c>
      <c r="O39" s="13">
        <f>Test!E109</f>
        <v>47.178800000000003</v>
      </c>
      <c r="P39" s="13">
        <f>Test!F109</f>
        <v>38188.834000000003</v>
      </c>
      <c r="Q39" s="13">
        <f>Test!G109</f>
        <v>6.86</v>
      </c>
      <c r="R39" s="14">
        <f t="shared" si="8"/>
        <v>10.608009444444445</v>
      </c>
      <c r="S39" s="17">
        <f t="shared" si="2"/>
        <v>1.0515909357638686</v>
      </c>
      <c r="T39" s="18">
        <f t="shared" si="2"/>
        <v>0.99463534870233439</v>
      </c>
      <c r="U39" s="91"/>
      <c r="V39" s="37">
        <f>bdrate($D39:$D42,E39:E42,$L39:$L42,M39:M42)</f>
        <v>-1.9810859190922847E-2</v>
      </c>
      <c r="W39" s="42">
        <f>bdrate($D39:$D42,F39:F42,$L39:$L42,N39:N42)</f>
        <v>-0.11201143998543872</v>
      </c>
      <c r="X39" s="42">
        <f>bdrate($D39:$D42,G39:G42,$L39:$L42,O39:O42)</f>
        <v>-2.7045102570652624E-2</v>
      </c>
      <c r="Y39" s="40">
        <f>bdrateOld($D39:$D42,E39:E42,$L39:$L42,M39:M42)</f>
        <v>-1.9350466589088011E-2</v>
      </c>
      <c r="Z39" s="44">
        <f>bdrateOld($D39:$D42,F39:F42,$L39:$L42,N39:N42)</f>
        <v>-0.1120865761120976</v>
      </c>
      <c r="AA39" s="45">
        <f>bdrateOld($D39:$D42,G39:G42,$L39:$L42,O39:O42)</f>
        <v>-2.7167581851520795E-2</v>
      </c>
    </row>
    <row r="40" spans="1:27" x14ac:dyDescent="0.2">
      <c r="A40" s="16"/>
      <c r="B40" s="85"/>
      <c r="C40" s="16">
        <v>32</v>
      </c>
      <c r="D40" s="17">
        <f>Reference!B110</f>
        <v>1146.972</v>
      </c>
      <c r="E40" s="18">
        <f>Reference!C110</f>
        <v>39.460500000000003</v>
      </c>
      <c r="F40" s="18">
        <f>Reference!D110</f>
        <v>45.4131</v>
      </c>
      <c r="G40" s="18">
        <f>Reference!E110</f>
        <v>45.898699999999998</v>
      </c>
      <c r="H40" s="18">
        <f>Reference!F110</f>
        <v>19055.058000000001</v>
      </c>
      <c r="I40" s="18">
        <f>Reference!G110</f>
        <v>5.3849999999999998</v>
      </c>
      <c r="J40" s="19">
        <f t="shared" si="7"/>
        <v>5.2930716666666671</v>
      </c>
      <c r="L40" s="17">
        <f>Test!B110</f>
        <v>1137.32</v>
      </c>
      <c r="M40" s="18">
        <f>Test!C110</f>
        <v>39.4861</v>
      </c>
      <c r="N40" s="18">
        <f>Test!D110</f>
        <v>45.508000000000003</v>
      </c>
      <c r="O40" s="18">
        <f>Test!E110</f>
        <v>45.935899999999997</v>
      </c>
      <c r="P40" s="18">
        <f>Test!F110</f>
        <v>21204.74</v>
      </c>
      <c r="Q40" s="18">
        <f>Test!G110</f>
        <v>5.8970000000000002</v>
      </c>
      <c r="R40" s="19">
        <f t="shared" si="8"/>
        <v>5.8902055555555561</v>
      </c>
      <c r="S40" s="17">
        <f t="shared" si="2"/>
        <v>1.1128142459603114</v>
      </c>
      <c r="T40" s="18">
        <f t="shared" si="2"/>
        <v>1.0950789229340763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537.67600000000004</v>
      </c>
      <c r="E41" s="18">
        <f>Reference!C111</f>
        <v>37.884500000000003</v>
      </c>
      <c r="F41" s="18">
        <f>Reference!D111</f>
        <v>44.5306</v>
      </c>
      <c r="G41" s="18">
        <f>Reference!E111</f>
        <v>44.255299999999998</v>
      </c>
      <c r="H41" s="18">
        <f>Reference!F111</f>
        <v>10053.841</v>
      </c>
      <c r="I41" s="18">
        <f>Reference!G111</f>
        <v>4.7560000000000002</v>
      </c>
      <c r="J41" s="19">
        <f t="shared" si="7"/>
        <v>2.7927336111111112</v>
      </c>
      <c r="L41" s="17">
        <f>Test!B111</f>
        <v>536.70000000000005</v>
      </c>
      <c r="M41" s="18">
        <f>Test!C111</f>
        <v>37.924500000000002</v>
      </c>
      <c r="N41" s="18">
        <f>Test!D111</f>
        <v>44.680199999999999</v>
      </c>
      <c r="O41" s="18">
        <f>Test!E111</f>
        <v>44.283999999999999</v>
      </c>
      <c r="P41" s="18">
        <f>Test!F111</f>
        <v>11155.387000000001</v>
      </c>
      <c r="Q41" s="18">
        <f>Test!G111</f>
        <v>5.093</v>
      </c>
      <c r="R41" s="19">
        <f t="shared" si="8"/>
        <v>3.0987186111111114</v>
      </c>
      <c r="S41" s="17">
        <f t="shared" si="2"/>
        <v>1.1095646927378302</v>
      </c>
      <c r="T41" s="18">
        <f t="shared" si="2"/>
        <v>1.0708578637510513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243.83199999999999</v>
      </c>
      <c r="E42" s="23">
        <f>Reference!C112</f>
        <v>35.7866</v>
      </c>
      <c r="F42" s="23">
        <f>Reference!D112</f>
        <v>43.314599999999999</v>
      </c>
      <c r="G42" s="23">
        <f>Reference!E112</f>
        <v>42.307899999999997</v>
      </c>
      <c r="H42" s="23">
        <f>Reference!F112</f>
        <v>5067.2879999999996</v>
      </c>
      <c r="I42" s="23">
        <f>Reference!G112</f>
        <v>4.1120000000000001</v>
      </c>
      <c r="J42" s="24">
        <f t="shared" si="7"/>
        <v>1.4075799999999998</v>
      </c>
      <c r="L42" s="22">
        <f>Test!B112</f>
        <v>242.42</v>
      </c>
      <c r="M42" s="23">
        <f>Test!C112</f>
        <v>35.817</v>
      </c>
      <c r="N42" s="23">
        <f>Test!D112</f>
        <v>43.526800000000001</v>
      </c>
      <c r="O42" s="23">
        <f>Test!E112</f>
        <v>42.436</v>
      </c>
      <c r="P42" s="23">
        <f>Test!F112</f>
        <v>5687.9620000000004</v>
      </c>
      <c r="Q42" s="23">
        <f>Test!G112</f>
        <v>4.6239999999999997</v>
      </c>
      <c r="R42" s="24">
        <f t="shared" si="8"/>
        <v>1.5799894444444447</v>
      </c>
      <c r="S42" s="17">
        <f t="shared" si="2"/>
        <v>1.1224864266645198</v>
      </c>
      <c r="T42" s="18">
        <f t="shared" si="2"/>
        <v>1.1245136186770428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960.44399999999996</v>
      </c>
      <c r="E43" s="13">
        <f>Reference!C113</f>
        <v>43.460500000000003</v>
      </c>
      <c r="F43" s="13">
        <f>Reference!D113</f>
        <v>47.098799999999997</v>
      </c>
      <c r="G43" s="13">
        <f>Reference!E113</f>
        <v>48.137599999999999</v>
      </c>
      <c r="H43" s="13">
        <f>Reference!F113</f>
        <v>15121.088</v>
      </c>
      <c r="I43" s="13">
        <f>Reference!G113</f>
        <v>4.2249999999999996</v>
      </c>
      <c r="J43" s="14">
        <f t="shared" si="7"/>
        <v>4.2003022222222217</v>
      </c>
      <c r="L43" s="12">
        <f>Test!B113</f>
        <v>946.65200000000004</v>
      </c>
      <c r="M43" s="13">
        <f>Test!C113</f>
        <v>43.477400000000003</v>
      </c>
      <c r="N43" s="13">
        <f>Test!D113</f>
        <v>47.107599999999998</v>
      </c>
      <c r="O43" s="13">
        <f>Test!E113</f>
        <v>48.103999999999999</v>
      </c>
      <c r="P43" s="13">
        <f>Test!F113</f>
        <v>17585.47</v>
      </c>
      <c r="Q43" s="13">
        <f>Test!G113</f>
        <v>4.7750000000000004</v>
      </c>
      <c r="R43" s="14">
        <f t="shared" si="8"/>
        <v>4.8848527777777777</v>
      </c>
      <c r="S43" s="17">
        <f t="shared" si="2"/>
        <v>1.1629765001036962</v>
      </c>
      <c r="T43" s="18">
        <f t="shared" si="2"/>
        <v>1.1301775147928996</v>
      </c>
      <c r="U43" s="91"/>
      <c r="V43" s="37">
        <f>bdrate($D43:$D46,E43:E46,$L43:$L46,M43:M46)</f>
        <v>-2.4914210043110674E-2</v>
      </c>
      <c r="W43" s="42">
        <f>bdrate($D43:$D46,F43:F46,$L43:$L46,N43:N46)</f>
        <v>-1.2160100190497181E-2</v>
      </c>
      <c r="X43" s="42">
        <f>bdrate($D43:$D46,G43:G46,$L43:$L46,O43:O46)</f>
        <v>-3.0195210014362428E-2</v>
      </c>
      <c r="Y43" s="40">
        <f>bdrateOld($D43:$D46,E43:E46,$L43:$L46,M43:M46)</f>
        <v>-2.5129197847525209E-2</v>
      </c>
      <c r="Z43" s="44">
        <f>bdrateOld($D43:$D46,F43:F46,$L43:$L46,N43:N46)</f>
        <v>-1.6628887734812525E-2</v>
      </c>
      <c r="AA43" s="45">
        <f>bdrateOld($D43:$D46,G43:G46,$L43:$L46,O43:O46)</f>
        <v>-2.8235778015743618E-2</v>
      </c>
    </row>
    <row r="44" spans="1:27" x14ac:dyDescent="0.2">
      <c r="A44" s="16"/>
      <c r="B44" s="85"/>
      <c r="C44" s="16">
        <v>32</v>
      </c>
      <c r="D44" s="17">
        <f>Reference!B114</f>
        <v>522.85599999999999</v>
      </c>
      <c r="E44" s="18">
        <f>Reference!C114</f>
        <v>42.170900000000003</v>
      </c>
      <c r="F44" s="18">
        <f>Reference!D114</f>
        <v>46.301900000000003</v>
      </c>
      <c r="G44" s="18">
        <f>Reference!E114</f>
        <v>47.063000000000002</v>
      </c>
      <c r="H44" s="18">
        <f>Reference!F114</f>
        <v>8687.2919999999995</v>
      </c>
      <c r="I44" s="18">
        <f>Reference!G114</f>
        <v>4.1500000000000004</v>
      </c>
      <c r="J44" s="19">
        <f t="shared" si="7"/>
        <v>2.4131366666666665</v>
      </c>
      <c r="L44" s="17">
        <f>Test!B114</f>
        <v>516.34799999999996</v>
      </c>
      <c r="M44" s="18">
        <f>Test!C114</f>
        <v>42.199199999999998</v>
      </c>
      <c r="N44" s="18">
        <f>Test!D114</f>
        <v>46.2819</v>
      </c>
      <c r="O44" s="18">
        <f>Test!E114</f>
        <v>47.1143</v>
      </c>
      <c r="P44" s="18">
        <f>Test!F114</f>
        <v>10303.862999999999</v>
      </c>
      <c r="Q44" s="18">
        <f>Test!G114</f>
        <v>4.5190000000000001</v>
      </c>
      <c r="R44" s="19">
        <f t="shared" si="8"/>
        <v>2.8621841666666663</v>
      </c>
      <c r="S44" s="17">
        <f t="shared" si="2"/>
        <v>1.1860845704277005</v>
      </c>
      <c r="T44" s="18">
        <f t="shared" si="2"/>
        <v>1.0889156626506022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298.94</v>
      </c>
      <c r="E45" s="18">
        <f>Reference!C115</f>
        <v>40.383499999999998</v>
      </c>
      <c r="F45" s="18">
        <f>Reference!D115</f>
        <v>45.235399999999998</v>
      </c>
      <c r="G45" s="18">
        <f>Reference!E115</f>
        <v>45.698099999999997</v>
      </c>
      <c r="H45" s="18">
        <f>Reference!F115</f>
        <v>4934.6679999999997</v>
      </c>
      <c r="I45" s="18">
        <f>Reference!G115</f>
        <v>3.9249999999999998</v>
      </c>
      <c r="J45" s="19">
        <f t="shared" si="7"/>
        <v>1.370741111111111</v>
      </c>
      <c r="L45" s="17">
        <f>Test!B115</f>
        <v>296.13600000000002</v>
      </c>
      <c r="M45" s="18">
        <f>Test!C115</f>
        <v>40.4435</v>
      </c>
      <c r="N45" s="18">
        <f>Test!D115</f>
        <v>45.252600000000001</v>
      </c>
      <c r="O45" s="18">
        <f>Test!E115</f>
        <v>45.7926</v>
      </c>
      <c r="P45" s="18">
        <f>Test!F115</f>
        <v>5655.5879999999997</v>
      </c>
      <c r="Q45" s="18">
        <f>Test!G115</f>
        <v>4.3140000000000001</v>
      </c>
      <c r="R45" s="19">
        <f t="shared" si="8"/>
        <v>1.5709966666666666</v>
      </c>
      <c r="S45" s="17">
        <f t="shared" si="2"/>
        <v>1.1460929083780307</v>
      </c>
      <c r="T45" s="18">
        <f t="shared" si="2"/>
        <v>1.0991082802547771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166.428</v>
      </c>
      <c r="E46" s="23">
        <f>Reference!C116</f>
        <v>37.795200000000001</v>
      </c>
      <c r="F46" s="23">
        <f>Reference!D116</f>
        <v>43.372300000000003</v>
      </c>
      <c r="G46" s="23">
        <f>Reference!E116</f>
        <v>43.820900000000002</v>
      </c>
      <c r="H46" s="23">
        <f>Reference!F116</f>
        <v>2861.3040000000001</v>
      </c>
      <c r="I46" s="23">
        <f>Reference!G116</f>
        <v>3.9420000000000002</v>
      </c>
      <c r="J46" s="24">
        <f t="shared" si="7"/>
        <v>0.79480666666666666</v>
      </c>
      <c r="L46" s="22">
        <f>Test!B116</f>
        <v>164.76</v>
      </c>
      <c r="M46" s="23">
        <f>Test!C116</f>
        <v>37.884999999999998</v>
      </c>
      <c r="N46" s="23">
        <f>Test!D116</f>
        <v>43.374699999999997</v>
      </c>
      <c r="O46" s="23">
        <f>Test!E116</f>
        <v>43.789900000000003</v>
      </c>
      <c r="P46" s="23">
        <f>Test!F116</f>
        <v>3278.6129999999998</v>
      </c>
      <c r="Q46" s="23">
        <f>Test!G116</f>
        <v>4.3339999999999996</v>
      </c>
      <c r="R46" s="24">
        <f t="shared" si="8"/>
        <v>0.91072583333333323</v>
      </c>
      <c r="S46" s="17">
        <f t="shared" si="2"/>
        <v>1.1458457402638795</v>
      </c>
      <c r="T46" s="18">
        <f t="shared" si="2"/>
        <v>1.0994419076610855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1362.1</v>
      </c>
      <c r="E47" s="13">
        <f>Reference!C117</f>
        <v>42.826799999999999</v>
      </c>
      <c r="F47" s="13">
        <f>Reference!D117</f>
        <v>48.663699999999999</v>
      </c>
      <c r="G47" s="13">
        <f>Reference!E117</f>
        <v>48.420299999999997</v>
      </c>
      <c r="H47" s="13">
        <f>Reference!F117</f>
        <v>17654.78</v>
      </c>
      <c r="I47" s="13">
        <f>Reference!G117</f>
        <v>4.4480000000000004</v>
      </c>
      <c r="J47" s="14">
        <f>H47/3600</f>
        <v>4.9041055555555548</v>
      </c>
      <c r="L47" s="12">
        <f>Test!B117</f>
        <v>1342.32</v>
      </c>
      <c r="M47" s="13">
        <f>Test!C117</f>
        <v>42.845799999999997</v>
      </c>
      <c r="N47" s="13">
        <f>Test!D117</f>
        <v>48.650300000000001</v>
      </c>
      <c r="O47" s="13">
        <f>Test!E117</f>
        <v>48.4407</v>
      </c>
      <c r="P47" s="13">
        <f>Test!F117</f>
        <v>20127.066999999999</v>
      </c>
      <c r="Q47" s="13">
        <f>Test!G117</f>
        <v>4.7770000000000001</v>
      </c>
      <c r="R47" s="14">
        <f>P47/3600</f>
        <v>5.5908519444444442</v>
      </c>
      <c r="S47" s="17">
        <f t="shared" ref="S47:T62" si="9">P47/H47</f>
        <v>1.1400349933559071</v>
      </c>
      <c r="T47" s="18">
        <f t="shared" si="9"/>
        <v>1.0739658273381294</v>
      </c>
      <c r="U47" s="91"/>
      <c r="V47" s="72">
        <f>bdrate($D47:$D50,E47:E50,$L47:$L50,M47:M50)</f>
        <v>-2.2056878769063037E-2</v>
      </c>
      <c r="W47" s="73">
        <f>bdrate($D47:$D50,F47:F50,$L47:$L50,N47:N50)</f>
        <v>-2.4172009090770441E-3</v>
      </c>
      <c r="X47" s="74">
        <f>bdrate($D47:$D50,G47:G50,$L47:$L50,O47:O50)</f>
        <v>-3.3372208995383623E-2</v>
      </c>
      <c r="Y47" s="37">
        <f>bdrateOld($D47:$D50,E47:E50,$L47:$L50,M47:M50)</f>
        <v>-2.1488078587719173E-2</v>
      </c>
      <c r="Z47" s="42">
        <f>bdrateOld($D47:$D50,F47:F50,$L47:$L50,N47:N50)</f>
        <v>6.3818756174316427E-4</v>
      </c>
      <c r="AA47" s="43">
        <f>bdrateOld($D47:$D50,G47:G50,$L47:$L50,O47:O50)</f>
        <v>-3.5893217275242195E-2</v>
      </c>
    </row>
    <row r="48" spans="1:27" x14ac:dyDescent="0.2">
      <c r="A48" s="16"/>
      <c r="B48" s="85"/>
      <c r="C48" s="16">
        <v>32</v>
      </c>
      <c r="D48" s="17">
        <f>Reference!B118</f>
        <v>735.25199999999995</v>
      </c>
      <c r="E48" s="18">
        <f>Reference!C118</f>
        <v>41.530200000000001</v>
      </c>
      <c r="F48" s="18">
        <f>Reference!D118</f>
        <v>47.787999999999997</v>
      </c>
      <c r="G48" s="18">
        <f>Reference!E118</f>
        <v>47.299700000000001</v>
      </c>
      <c r="H48" s="18">
        <f>Reference!F118</f>
        <v>10239.605</v>
      </c>
      <c r="I48" s="18">
        <f>Reference!G118</f>
        <v>4.0659999999999998</v>
      </c>
      <c r="J48" s="19">
        <f t="shared" ref="J48:J70" si="10">H48/3600</f>
        <v>2.8443347222222219</v>
      </c>
      <c r="L48" s="17">
        <f>Test!B118</f>
        <v>724.66</v>
      </c>
      <c r="M48" s="18">
        <f>Test!C118</f>
        <v>41.566800000000001</v>
      </c>
      <c r="N48" s="18">
        <f>Test!D118</f>
        <v>47.791400000000003</v>
      </c>
      <c r="O48" s="18">
        <f>Test!E118</f>
        <v>47.308500000000002</v>
      </c>
      <c r="P48" s="18">
        <f>Test!F118</f>
        <v>11519.694</v>
      </c>
      <c r="Q48" s="18">
        <f>Test!G118</f>
        <v>4.4450000000000003</v>
      </c>
      <c r="R48" s="19">
        <f t="shared" ref="R48:R70" si="11">P48/3600</f>
        <v>3.1999149999999998</v>
      </c>
      <c r="S48" s="17">
        <f t="shared" si="9"/>
        <v>1.1250135137048745</v>
      </c>
      <c r="T48" s="18">
        <f t="shared" si="9"/>
        <v>1.0932120019675358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413.27600000000001</v>
      </c>
      <c r="E49" s="18">
        <f>Reference!C119</f>
        <v>39.651000000000003</v>
      </c>
      <c r="F49" s="18">
        <f>Reference!D119</f>
        <v>46.735300000000002</v>
      </c>
      <c r="G49" s="18">
        <f>Reference!E119</f>
        <v>45.680700000000002</v>
      </c>
      <c r="H49" s="18">
        <f>Reference!F119</f>
        <v>5962.8140000000003</v>
      </c>
      <c r="I49" s="18">
        <f>Reference!G119</f>
        <v>3.9550000000000001</v>
      </c>
      <c r="J49" s="19">
        <f t="shared" si="10"/>
        <v>1.6563372222222223</v>
      </c>
      <c r="L49" s="17">
        <f>Test!B119</f>
        <v>407.89600000000002</v>
      </c>
      <c r="M49" s="18">
        <f>Test!C119</f>
        <v>39.685299999999998</v>
      </c>
      <c r="N49" s="18">
        <f>Test!D119</f>
        <v>46.682600000000001</v>
      </c>
      <c r="O49" s="18">
        <f>Test!E119</f>
        <v>45.740600000000001</v>
      </c>
      <c r="P49" s="18">
        <f>Test!F119</f>
        <v>6759.0559999999996</v>
      </c>
      <c r="Q49" s="18">
        <f>Test!G119</f>
        <v>4.4729999999999999</v>
      </c>
      <c r="R49" s="19">
        <f t="shared" si="11"/>
        <v>1.8775155555555554</v>
      </c>
      <c r="S49" s="17">
        <f t="shared" si="9"/>
        <v>1.1335346029575968</v>
      </c>
      <c r="T49" s="18">
        <f t="shared" si="9"/>
        <v>1.1309734513274337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225.11199999999999</v>
      </c>
      <c r="E50" s="23">
        <f>Reference!C120</f>
        <v>36.888300000000001</v>
      </c>
      <c r="F50" s="23">
        <f>Reference!D120</f>
        <v>45.084400000000002</v>
      </c>
      <c r="G50" s="23">
        <f>Reference!E120</f>
        <v>43.148099999999999</v>
      </c>
      <c r="H50" s="23">
        <f>Reference!F120</f>
        <v>3490.2179999999998</v>
      </c>
      <c r="I50" s="23">
        <f>Reference!G120</f>
        <v>3.859</v>
      </c>
      <c r="J50" s="24">
        <f t="shared" si="10"/>
        <v>0.96950499999999995</v>
      </c>
      <c r="L50" s="22">
        <f>Test!B120</f>
        <v>223.84800000000001</v>
      </c>
      <c r="M50" s="23">
        <f>Test!C120</f>
        <v>36.926600000000001</v>
      </c>
      <c r="N50" s="23">
        <f>Test!D120</f>
        <v>45.120800000000003</v>
      </c>
      <c r="O50" s="23">
        <f>Test!E120</f>
        <v>43.463299999999997</v>
      </c>
      <c r="P50" s="23">
        <f>Test!F120</f>
        <v>4018.88</v>
      </c>
      <c r="Q50" s="23">
        <f>Test!G120</f>
        <v>4.2389999999999999</v>
      </c>
      <c r="R50" s="24">
        <f t="shared" si="11"/>
        <v>1.1163555555555555</v>
      </c>
      <c r="S50" s="22">
        <f t="shared" si="9"/>
        <v>1.1514696216683313</v>
      </c>
      <c r="T50" s="23">
        <f t="shared" si="9"/>
        <v>1.0984711065042756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50.606989360058321</v>
      </c>
      <c r="J75" s="15">
        <f>GEOMEAN(J3:J18)</f>
        <v>49.001065415219671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6">AVERAGE(W3:W18)</f>
        <v>#VALUE!</v>
      </c>
      <c r="X75" s="42" t="e">
        <f t="shared" si="16"/>
        <v>#VALUE!</v>
      </c>
      <c r="Y75" s="37" t="e">
        <f>AVERAGE(Y3:Y18)</f>
        <v>#VALUE!</v>
      </c>
      <c r="Z75" s="42" t="e">
        <f t="shared" si="16"/>
        <v>#VALUE!</v>
      </c>
      <c r="AA75" s="43" t="e">
        <f t="shared" si="16"/>
        <v>#VALUE!</v>
      </c>
    </row>
    <row r="76" spans="1:27" x14ac:dyDescent="0.2">
      <c r="B76" s="89" t="s">
        <v>47</v>
      </c>
      <c r="I76" s="15">
        <f>GEOMEAN(I19:I34)</f>
        <v>12.110219969439378</v>
      </c>
      <c r="J76" s="15">
        <f>GEOMEAN(J19:J34)</f>
        <v>11.406863778153426</v>
      </c>
      <c r="Q76" s="15">
        <f>GEOMEAN(Q19:Q34)</f>
        <v>12.519694202548749</v>
      </c>
      <c r="R76" s="15">
        <f>GEOMEAN(R19:R34)</f>
        <v>12.327850241444319</v>
      </c>
      <c r="S76" s="15">
        <f>GEOMEAN(S19:S34)</f>
        <v>1.0807396740421129</v>
      </c>
      <c r="T76" s="15">
        <f>GEOMEAN(T19:T34)</f>
        <v>1.0338122869892288</v>
      </c>
      <c r="V76" s="40">
        <f>AVERAGE(V19:V34)</f>
        <v>-1.8806843644427584E-2</v>
      </c>
      <c r="W76" s="44">
        <f t="shared" ref="W76:AA76" si="17">AVERAGE(W19:W34)</f>
        <v>-1.6832736267592435E-2</v>
      </c>
      <c r="X76" s="44">
        <f t="shared" si="17"/>
        <v>-2.2485708857685388E-2</v>
      </c>
      <c r="Y76" s="40">
        <f t="shared" si="17"/>
        <v>-1.8756258072783111E-2</v>
      </c>
      <c r="Z76" s="44">
        <f t="shared" si="17"/>
        <v>-1.6498289948107592E-2</v>
      </c>
      <c r="AA76" s="45">
        <f t="shared" si="17"/>
        <v>-2.2568481507839633E-2</v>
      </c>
    </row>
    <row r="77" spans="1:27" x14ac:dyDescent="0.2">
      <c r="B77" s="89" t="s">
        <v>51</v>
      </c>
      <c r="I77" s="15">
        <f>GEOMEAN(I35:I50)</f>
        <v>4.539962923961153</v>
      </c>
      <c r="J77" s="15">
        <f>GEOMEAN(J35:J50)</f>
        <v>2.9208948646361446</v>
      </c>
      <c r="Q77" s="15">
        <f>GEOMEAN(Q35:Q50)</f>
        <v>4.8937885078577192</v>
      </c>
      <c r="R77" s="15">
        <f>GEOMEAN(R35:R50)</f>
        <v>3.3182931621511327</v>
      </c>
      <c r="S77" s="15">
        <f>GEOMEAN(S35:S50)</f>
        <v>1.1360536123112026</v>
      </c>
      <c r="T77" s="15">
        <f>GEOMEAN(T35:T50)</f>
        <v>1.0779357871028272</v>
      </c>
      <c r="V77" s="40">
        <f>AVERAGE(V35:V50)</f>
        <v>-1.9888054097017549E-2</v>
      </c>
      <c r="W77" s="44">
        <f t="shared" ref="W77:AA77" si="18">AVERAGE(W35:W50)</f>
        <v>-3.4224330797911123E-2</v>
      </c>
      <c r="X77" s="44">
        <f t="shared" si="18"/>
        <v>-2.585509730527219E-2</v>
      </c>
      <c r="Y77" s="40">
        <f t="shared" si="18"/>
        <v>-1.9560859923239693E-2</v>
      </c>
      <c r="Z77" s="44">
        <f t="shared" si="18"/>
        <v>-3.4214827257984248E-2</v>
      </c>
      <c r="AA77" s="45">
        <f t="shared" si="18"/>
        <v>-2.6085838425561808E-2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14.064952824881232</v>
      </c>
      <c r="J80" s="54">
        <f xml:space="preserve"> GEOMEAN(J3:J50)</f>
        <v>11.775044788965085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2">AVERAGE(W3:W50)</f>
        <v>#VALUE!</v>
      </c>
      <c r="X80" s="47" t="e">
        <f t="shared" si="22"/>
        <v>#VALUE!</v>
      </c>
      <c r="Y80" s="46" t="e">
        <f t="shared" si="22"/>
        <v>#VALUE!</v>
      </c>
      <c r="Z80" s="46" t="e">
        <f t="shared" si="22"/>
        <v>#VALUE!</v>
      </c>
      <c r="AA80" s="47" t="e">
        <f t="shared" si="22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A79" sqref="A79:XFD7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17145.407999999999</v>
      </c>
      <c r="E3" s="13">
        <f>Reference!C145</f>
        <v>40.146700000000003</v>
      </c>
      <c r="F3" s="13">
        <f>Reference!D145</f>
        <v>48.568100000000001</v>
      </c>
      <c r="G3" s="13">
        <f>Reference!E145</f>
        <v>46.410699999999999</v>
      </c>
      <c r="H3" s="13">
        <f>Reference!F145</f>
        <v>210945.25</v>
      </c>
      <c r="I3" s="13">
        <f>Reference!G145</f>
        <v>31.154</v>
      </c>
      <c r="J3" s="14">
        <f>H3/3600</f>
        <v>58.595902777777781</v>
      </c>
      <c r="L3" s="12">
        <f>Test!B145</f>
        <v>0</v>
      </c>
      <c r="M3" s="13">
        <f>Test!C145</f>
        <v>0</v>
      </c>
      <c r="N3" s="13">
        <f>Test!D145</f>
        <v>0</v>
      </c>
      <c r="O3" s="13">
        <f>Test!E145</f>
        <v>0</v>
      </c>
      <c r="P3" s="13">
        <f>Test!F145</f>
        <v>0</v>
      </c>
      <c r="Q3" s="13">
        <f>Test!G145</f>
        <v>0</v>
      </c>
      <c r="R3" s="14">
        <f>P3/3600</f>
        <v>0</v>
      </c>
      <c r="S3" s="12">
        <f t="shared" ref="S3:T3" si="0">P3/H3</f>
        <v>0</v>
      </c>
      <c r="T3" s="13">
        <f t="shared" si="0"/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8673</v>
      </c>
      <c r="E4" s="18">
        <f>Reference!C146</f>
        <v>39.528100000000002</v>
      </c>
      <c r="F4" s="18">
        <f>Reference!D146</f>
        <v>47.682400000000001</v>
      </c>
      <c r="G4" s="18">
        <f>Reference!E146</f>
        <v>45.258899999999997</v>
      </c>
      <c r="H4" s="18">
        <f>Reference!F146</f>
        <v>114284.55499999999</v>
      </c>
      <c r="I4" s="18">
        <f>Reference!G146</f>
        <v>27.346</v>
      </c>
      <c r="J4" s="19">
        <f t="shared" ref="J4:J14" si="1">H4/3600</f>
        <v>31.74570972222222</v>
      </c>
      <c r="L4" s="17">
        <f>Test!B146</f>
        <v>0</v>
      </c>
      <c r="M4" s="18">
        <f>Test!C146</f>
        <v>0</v>
      </c>
      <c r="N4" s="18">
        <f>Test!D146</f>
        <v>0</v>
      </c>
      <c r="O4" s="18">
        <f>Test!E146</f>
        <v>0</v>
      </c>
      <c r="P4" s="18">
        <f>Test!F146</f>
        <v>0</v>
      </c>
      <c r="Q4" s="18">
        <f>Test!G146</f>
        <v>0</v>
      </c>
      <c r="R4" s="19">
        <f t="shared" ref="R4:R14" si="2">P4/3600</f>
        <v>0</v>
      </c>
      <c r="S4" s="17">
        <f t="shared" ref="S4:S26" si="3">P4/H4</f>
        <v>0</v>
      </c>
      <c r="T4" s="18">
        <f t="shared" ref="T4:T26" si="4">Q4/I4</f>
        <v>0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4732.2640000000001</v>
      </c>
      <c r="E5" s="18">
        <f>Reference!C147</f>
        <v>38.5107</v>
      </c>
      <c r="F5" s="18">
        <f>Reference!D147</f>
        <v>46.541899999999998</v>
      </c>
      <c r="G5" s="18">
        <f>Reference!E147</f>
        <v>43.860199999999999</v>
      </c>
      <c r="H5" s="18">
        <f>Reference!F147</f>
        <v>61948.383000000002</v>
      </c>
      <c r="I5" s="18">
        <f>Reference!G147</f>
        <v>23.039000000000001</v>
      </c>
      <c r="J5" s="19">
        <f t="shared" si="1"/>
        <v>17.207884166666666</v>
      </c>
      <c r="L5" s="17">
        <f>Test!B147</f>
        <v>0</v>
      </c>
      <c r="M5" s="18">
        <f>Test!C147</f>
        <v>0</v>
      </c>
      <c r="N5" s="18">
        <f>Test!D147</f>
        <v>0</v>
      </c>
      <c r="O5" s="18">
        <f>Test!E147</f>
        <v>0</v>
      </c>
      <c r="P5" s="18">
        <f>Test!F147</f>
        <v>0</v>
      </c>
      <c r="Q5" s="18">
        <f>Test!G147</f>
        <v>0</v>
      </c>
      <c r="R5" s="19">
        <f t="shared" si="2"/>
        <v>0</v>
      </c>
      <c r="S5" s="17">
        <f t="shared" si="3"/>
        <v>0</v>
      </c>
      <c r="T5" s="18">
        <f t="shared" si="4"/>
        <v>0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2586.48</v>
      </c>
      <c r="E6" s="23">
        <f>Reference!C148</f>
        <v>36.9161</v>
      </c>
      <c r="F6" s="23">
        <f>Reference!D148</f>
        <v>45.113100000000003</v>
      </c>
      <c r="G6" s="23">
        <f>Reference!E148</f>
        <v>42.2393</v>
      </c>
      <c r="H6" s="23">
        <f>Reference!F148</f>
        <v>34108.476999999999</v>
      </c>
      <c r="I6" s="23">
        <f>Reference!G148</f>
        <v>20.166</v>
      </c>
      <c r="J6" s="24">
        <f t="shared" si="1"/>
        <v>9.4745769444444434</v>
      </c>
      <c r="L6" s="22">
        <f>Test!B148</f>
        <v>2536.7919999999999</v>
      </c>
      <c r="M6" s="23">
        <f>Test!C148</f>
        <v>36.966299999999997</v>
      </c>
      <c r="N6" s="23">
        <f>Test!D148</f>
        <v>45.148299999999999</v>
      </c>
      <c r="O6" s="23">
        <f>Test!E148</f>
        <v>42.255899999999997</v>
      </c>
      <c r="P6" s="23">
        <f>Test!F148</f>
        <v>34617.016000000003</v>
      </c>
      <c r="Q6" s="23">
        <f>Test!G148</f>
        <v>22.117000000000001</v>
      </c>
      <c r="R6" s="24">
        <f t="shared" si="2"/>
        <v>9.615837777777779</v>
      </c>
      <c r="S6" s="17">
        <f t="shared" si="3"/>
        <v>1.0149094607771554</v>
      </c>
      <c r="T6" s="18">
        <f t="shared" si="4"/>
        <v>1.0967469999008232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94534.351999999999</v>
      </c>
      <c r="E7" s="13">
        <f>Reference!C149</f>
        <v>41.641199999999998</v>
      </c>
      <c r="F7" s="13">
        <f>Reference!D149</f>
        <v>36.483899999999998</v>
      </c>
      <c r="G7" s="13">
        <f>Reference!E149</f>
        <v>37.475499999999997</v>
      </c>
      <c r="H7" s="13">
        <f>Reference!F149</f>
        <v>399171.125</v>
      </c>
      <c r="I7" s="13">
        <f>Reference!G149</f>
        <v>34.530999999999999</v>
      </c>
      <c r="J7" s="14">
        <f t="shared" si="1"/>
        <v>110.88086805555555</v>
      </c>
      <c r="L7" s="12">
        <f>Test!B149</f>
        <v>0</v>
      </c>
      <c r="M7" s="13">
        <f>Test!C149</f>
        <v>0</v>
      </c>
      <c r="N7" s="13">
        <f>Test!D149</f>
        <v>0</v>
      </c>
      <c r="O7" s="13">
        <f>Test!E149</f>
        <v>0</v>
      </c>
      <c r="P7" s="13">
        <f>Test!F149</f>
        <v>0</v>
      </c>
      <c r="Q7" s="13">
        <f>Test!G149</f>
        <v>0</v>
      </c>
      <c r="R7" s="14">
        <f t="shared" si="2"/>
        <v>0</v>
      </c>
      <c r="S7" s="17">
        <f t="shared" si="3"/>
        <v>0</v>
      </c>
      <c r="T7" s="18">
        <f t="shared" si="4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Reference!B150</f>
        <v>48486.239999999998</v>
      </c>
      <c r="E8" s="18">
        <f>Reference!C150</f>
        <v>38.858600000000003</v>
      </c>
      <c r="F8" s="18">
        <f>Reference!D150</f>
        <v>34.145600000000002</v>
      </c>
      <c r="G8" s="18">
        <f>Reference!E150</f>
        <v>35.476900000000001</v>
      </c>
      <c r="H8" s="18">
        <f>Reference!F150</f>
        <v>279044.375</v>
      </c>
      <c r="I8" s="18">
        <f>Reference!G150</f>
        <v>28.111000000000001</v>
      </c>
      <c r="J8" s="19">
        <f t="shared" si="1"/>
        <v>77.512326388888894</v>
      </c>
      <c r="L8" s="17">
        <f>Test!B150</f>
        <v>0</v>
      </c>
      <c r="M8" s="18">
        <f>Test!C150</f>
        <v>0</v>
      </c>
      <c r="N8" s="18">
        <f>Test!D150</f>
        <v>0</v>
      </c>
      <c r="O8" s="18">
        <f>Test!E150</f>
        <v>0</v>
      </c>
      <c r="P8" s="18">
        <f>Test!F150</f>
        <v>0</v>
      </c>
      <c r="Q8" s="18">
        <f>Test!G150</f>
        <v>0</v>
      </c>
      <c r="R8" s="19">
        <f t="shared" si="2"/>
        <v>0</v>
      </c>
      <c r="S8" s="17">
        <f t="shared" si="3"/>
        <v>0</v>
      </c>
      <c r="T8" s="18">
        <f t="shared" si="4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22411.984</v>
      </c>
      <c r="E9" s="18">
        <f>Reference!C151</f>
        <v>35.753599999999999</v>
      </c>
      <c r="F9" s="18">
        <f>Reference!D151</f>
        <v>32.193199999999997</v>
      </c>
      <c r="G9" s="18">
        <f>Reference!E151</f>
        <v>33.756900000000002</v>
      </c>
      <c r="H9" s="18">
        <f>Reference!F151</f>
        <v>157745.59400000001</v>
      </c>
      <c r="I9" s="18">
        <f>Reference!G151</f>
        <v>23.381</v>
      </c>
      <c r="J9" s="19">
        <f t="shared" si="1"/>
        <v>43.818220555555556</v>
      </c>
      <c r="L9" s="17">
        <f>Test!B151</f>
        <v>0</v>
      </c>
      <c r="M9" s="18">
        <f>Test!C151</f>
        <v>0</v>
      </c>
      <c r="N9" s="18">
        <f>Test!D151</f>
        <v>0</v>
      </c>
      <c r="O9" s="18">
        <f>Test!E151</f>
        <v>0</v>
      </c>
      <c r="P9" s="18">
        <f>Test!F151</f>
        <v>0</v>
      </c>
      <c r="Q9" s="18">
        <f>Test!G151</f>
        <v>0</v>
      </c>
      <c r="R9" s="19">
        <f t="shared" si="2"/>
        <v>0</v>
      </c>
      <c r="S9" s="17">
        <f t="shared" si="3"/>
        <v>0</v>
      </c>
      <c r="T9" s="18">
        <f t="shared" si="4"/>
        <v>0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9355.0640000000003</v>
      </c>
      <c r="E10" s="23">
        <f>Reference!C152</f>
        <v>32.717599999999997</v>
      </c>
      <c r="F10" s="23">
        <f>Reference!D152</f>
        <v>30.5016</v>
      </c>
      <c r="G10" s="23">
        <f>Reference!E152</f>
        <v>32.279699999999998</v>
      </c>
      <c r="H10" s="23">
        <f>Reference!F152</f>
        <v>88033.976999999999</v>
      </c>
      <c r="I10" s="23">
        <f>Reference!G152</f>
        <v>20.594000000000001</v>
      </c>
      <c r="J10" s="24">
        <f t="shared" si="1"/>
        <v>24.453882499999999</v>
      </c>
      <c r="L10" s="22">
        <f>Test!B152</f>
        <v>0</v>
      </c>
      <c r="M10" s="23">
        <f>Test!C152</f>
        <v>0</v>
      </c>
      <c r="N10" s="23">
        <f>Test!D152</f>
        <v>0</v>
      </c>
      <c r="O10" s="23">
        <f>Test!E152</f>
        <v>0</v>
      </c>
      <c r="P10" s="23">
        <f>Test!F152</f>
        <v>0</v>
      </c>
      <c r="Q10" s="23">
        <f>Test!G152</f>
        <v>0</v>
      </c>
      <c r="R10" s="24">
        <f t="shared" si="2"/>
        <v>0</v>
      </c>
      <c r="S10" s="17">
        <f t="shared" si="3"/>
        <v>0</v>
      </c>
      <c r="T10" s="18">
        <f t="shared" si="4"/>
        <v>0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47378.12</v>
      </c>
      <c r="E11" s="13">
        <f>Reference!C153</f>
        <v>38.890599999999999</v>
      </c>
      <c r="F11" s="13">
        <f>Reference!D153</f>
        <v>41.020099999999999</v>
      </c>
      <c r="G11" s="13">
        <f>Reference!E153</f>
        <v>41.2744</v>
      </c>
      <c r="H11" s="13">
        <f>Reference!F153</f>
        <v>215363.28099999999</v>
      </c>
      <c r="I11" s="13">
        <f>Reference!G153</f>
        <v>21.372</v>
      </c>
      <c r="J11" s="14">
        <f t="shared" si="1"/>
        <v>59.82313361111111</v>
      </c>
      <c r="L11" s="12">
        <f>Test!B153</f>
        <v>0</v>
      </c>
      <c r="M11" s="13">
        <f>Test!C153</f>
        <v>0</v>
      </c>
      <c r="N11" s="13">
        <f>Test!D153</f>
        <v>0</v>
      </c>
      <c r="O11" s="13">
        <f>Test!E153</f>
        <v>0</v>
      </c>
      <c r="P11" s="13">
        <f>Test!F153</f>
        <v>0</v>
      </c>
      <c r="Q11" s="13">
        <f>Test!G153</f>
        <v>0</v>
      </c>
      <c r="R11" s="14">
        <f t="shared" si="2"/>
        <v>0</v>
      </c>
      <c r="S11" s="17">
        <f t="shared" si="3"/>
        <v>0</v>
      </c>
      <c r="T11" s="18">
        <f t="shared" si="4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Reference!B154</f>
        <v>23269.272000000001</v>
      </c>
      <c r="E12" s="18">
        <f>Reference!C154</f>
        <v>37.511000000000003</v>
      </c>
      <c r="F12" s="18">
        <f>Reference!D154</f>
        <v>38.485999999999997</v>
      </c>
      <c r="G12" s="18">
        <f>Reference!E154</f>
        <v>39.768999999999998</v>
      </c>
      <c r="H12" s="18">
        <f>Reference!F154</f>
        <v>116873.54700000001</v>
      </c>
      <c r="I12" s="18">
        <f>Reference!G154</f>
        <v>15.651999999999999</v>
      </c>
      <c r="J12" s="19">
        <f t="shared" si="1"/>
        <v>32.464874166666668</v>
      </c>
      <c r="L12" s="17">
        <f>Test!B154</f>
        <v>0</v>
      </c>
      <c r="M12" s="18">
        <f>Test!C154</f>
        <v>0</v>
      </c>
      <c r="N12" s="18">
        <f>Test!D154</f>
        <v>0</v>
      </c>
      <c r="O12" s="18">
        <f>Test!E154</f>
        <v>0</v>
      </c>
      <c r="P12" s="18">
        <f>Test!F154</f>
        <v>0</v>
      </c>
      <c r="Q12" s="18">
        <f>Test!G154</f>
        <v>0</v>
      </c>
      <c r="R12" s="19">
        <f t="shared" si="2"/>
        <v>0</v>
      </c>
      <c r="S12" s="17">
        <f t="shared" si="3"/>
        <v>0</v>
      </c>
      <c r="T12" s="18">
        <f t="shared" si="4"/>
        <v>0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12087.103999999999</v>
      </c>
      <c r="E13" s="18">
        <f>Reference!C155</f>
        <v>35.930399999999999</v>
      </c>
      <c r="F13" s="18">
        <f>Reference!D155</f>
        <v>36.295499999999997</v>
      </c>
      <c r="G13" s="18">
        <f>Reference!E155</f>
        <v>38.302399999999999</v>
      </c>
      <c r="H13" s="18">
        <f>Reference!F155</f>
        <v>72201.952999999994</v>
      </c>
      <c r="I13" s="18">
        <f>Reference!G155</f>
        <v>13.404</v>
      </c>
      <c r="J13" s="19">
        <f t="shared" si="1"/>
        <v>20.056098055555555</v>
      </c>
      <c r="L13" s="17">
        <f>Test!B155</f>
        <v>0</v>
      </c>
      <c r="M13" s="18">
        <f>Test!C155</f>
        <v>0</v>
      </c>
      <c r="N13" s="18">
        <f>Test!D155</f>
        <v>0</v>
      </c>
      <c r="O13" s="18">
        <f>Test!E155</f>
        <v>0</v>
      </c>
      <c r="P13" s="18">
        <f>Test!F155</f>
        <v>0</v>
      </c>
      <c r="Q13" s="18">
        <f>Test!G155</f>
        <v>0</v>
      </c>
      <c r="R13" s="19">
        <f t="shared" si="2"/>
        <v>0</v>
      </c>
      <c r="S13" s="17">
        <f t="shared" si="3"/>
        <v>0</v>
      </c>
      <c r="T13" s="18">
        <f t="shared" si="4"/>
        <v>0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5918.7280000000001</v>
      </c>
      <c r="E14" s="23">
        <f>Reference!C156</f>
        <v>33.989699999999999</v>
      </c>
      <c r="F14" s="23">
        <f>Reference!D156</f>
        <v>33.886400000000002</v>
      </c>
      <c r="G14" s="23">
        <f>Reference!E156</f>
        <v>36.584299999999999</v>
      </c>
      <c r="H14" s="23">
        <f>Reference!F156</f>
        <v>43122.402000000002</v>
      </c>
      <c r="I14" s="23">
        <f>Reference!G156</f>
        <v>11.679</v>
      </c>
      <c r="J14" s="24">
        <f t="shared" si="1"/>
        <v>11.978445000000001</v>
      </c>
      <c r="L14" s="22">
        <f>Test!B156</f>
        <v>5897.8320000000003</v>
      </c>
      <c r="M14" s="23">
        <f>Test!C156</f>
        <v>34.028799999999997</v>
      </c>
      <c r="N14" s="23">
        <f>Test!D156</f>
        <v>33.946399999999997</v>
      </c>
      <c r="O14" s="23">
        <f>Test!E156</f>
        <v>36.667400000000001</v>
      </c>
      <c r="P14" s="23">
        <f>Test!F156</f>
        <v>46182.277000000002</v>
      </c>
      <c r="Q14" s="23">
        <f>Test!G156</f>
        <v>13.002000000000001</v>
      </c>
      <c r="R14" s="24">
        <f t="shared" si="2"/>
        <v>12.828410277777778</v>
      </c>
      <c r="S14" s="17">
        <f t="shared" si="3"/>
        <v>1.0709578979389878</v>
      </c>
      <c r="T14" s="18">
        <f t="shared" si="4"/>
        <v>1.1132802465964553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24794.815999999999</v>
      </c>
      <c r="E15" s="13">
        <f>Reference!C157</f>
        <v>37.5062</v>
      </c>
      <c r="F15" s="13">
        <f>Reference!D157</f>
        <v>44.789900000000003</v>
      </c>
      <c r="G15" s="13">
        <f>Reference!E157</f>
        <v>42.475999999999999</v>
      </c>
      <c r="H15" s="13">
        <f>Reference!F157</f>
        <v>322237.75</v>
      </c>
      <c r="I15" s="13">
        <f>Reference!G157</f>
        <v>29.757000000000001</v>
      </c>
      <c r="J15" s="14">
        <f>H15/3600</f>
        <v>89.510486111111106</v>
      </c>
      <c r="L15" s="12">
        <f>Test!B157</f>
        <v>0</v>
      </c>
      <c r="M15" s="13">
        <f>Test!C157</f>
        <v>0</v>
      </c>
      <c r="N15" s="13">
        <f>Test!D157</f>
        <v>0</v>
      </c>
      <c r="O15" s="13">
        <f>Test!E157</f>
        <v>0</v>
      </c>
      <c r="P15" s="13">
        <f>Test!F157</f>
        <v>0</v>
      </c>
      <c r="Q15" s="13">
        <f>Test!G157</f>
        <v>0</v>
      </c>
      <c r="R15" s="14">
        <f>P15/3600</f>
        <v>0</v>
      </c>
      <c r="S15" s="17">
        <f t="shared" si="3"/>
        <v>0</v>
      </c>
      <c r="T15" s="18">
        <f t="shared" si="4"/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Reference!B158</f>
        <v>10576.224</v>
      </c>
      <c r="E16" s="18">
        <f>Reference!C158</f>
        <v>36.86</v>
      </c>
      <c r="F16" s="18">
        <f>Reference!D158</f>
        <v>44.049199999999999</v>
      </c>
      <c r="G16" s="18">
        <f>Reference!E158</f>
        <v>41.677700000000002</v>
      </c>
      <c r="H16" s="18">
        <f>Reference!F158</f>
        <v>151716.43799999999</v>
      </c>
      <c r="I16" s="18">
        <f>Reference!G158</f>
        <v>23.661999999999999</v>
      </c>
      <c r="J16" s="19">
        <f t="shared" ref="J16:J26" si="5">H16/3600</f>
        <v>42.143454999999996</v>
      </c>
      <c r="L16" s="17">
        <f>Test!B158</f>
        <v>0</v>
      </c>
      <c r="M16" s="18">
        <f>Test!C158</f>
        <v>0</v>
      </c>
      <c r="N16" s="18">
        <f>Test!D158</f>
        <v>0</v>
      </c>
      <c r="O16" s="18">
        <f>Test!E158</f>
        <v>0</v>
      </c>
      <c r="P16" s="18">
        <f>Test!F158</f>
        <v>0</v>
      </c>
      <c r="Q16" s="18">
        <f>Test!G158</f>
        <v>0</v>
      </c>
      <c r="R16" s="19">
        <f t="shared" ref="R16:R26" si="6">P16/3600</f>
        <v>0</v>
      </c>
      <c r="S16" s="17">
        <f t="shared" si="3"/>
        <v>0</v>
      </c>
      <c r="T16" s="18">
        <f t="shared" si="4"/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5309.4319999999998</v>
      </c>
      <c r="E17" s="18">
        <f>Reference!C159</f>
        <v>35.82</v>
      </c>
      <c r="F17" s="18">
        <f>Reference!D159</f>
        <v>42.9895</v>
      </c>
      <c r="G17" s="18">
        <f>Reference!E159</f>
        <v>40.558199999999999</v>
      </c>
      <c r="H17" s="18">
        <f>Reference!F159</f>
        <v>82222.101999999999</v>
      </c>
      <c r="I17" s="18">
        <f>Reference!G159</f>
        <v>20.234999999999999</v>
      </c>
      <c r="J17" s="19">
        <f t="shared" si="5"/>
        <v>22.839472777777779</v>
      </c>
      <c r="L17" s="17">
        <f>Test!B159</f>
        <v>0</v>
      </c>
      <c r="M17" s="18">
        <f>Test!C159</f>
        <v>0</v>
      </c>
      <c r="N17" s="18">
        <f>Test!D159</f>
        <v>0</v>
      </c>
      <c r="O17" s="18">
        <f>Test!E159</f>
        <v>0</v>
      </c>
      <c r="P17" s="18">
        <f>Test!F159</f>
        <v>0</v>
      </c>
      <c r="Q17" s="18">
        <f>Test!G159</f>
        <v>0</v>
      </c>
      <c r="R17" s="19">
        <f t="shared" si="6"/>
        <v>0</v>
      </c>
      <c r="S17" s="17">
        <f t="shared" si="3"/>
        <v>0</v>
      </c>
      <c r="T17" s="18">
        <f t="shared" si="4"/>
        <v>0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2641.752</v>
      </c>
      <c r="E18" s="23">
        <f>Reference!C160</f>
        <v>34.209200000000003</v>
      </c>
      <c r="F18" s="23">
        <f>Reference!D160</f>
        <v>41.629600000000003</v>
      </c>
      <c r="G18" s="23">
        <f>Reference!E160</f>
        <v>39.354199999999999</v>
      </c>
      <c r="H18" s="23">
        <f>Reference!F160</f>
        <v>42444.815999999999</v>
      </c>
      <c r="I18" s="23">
        <f>Reference!G160</f>
        <v>16.079999999999998</v>
      </c>
      <c r="J18" s="24">
        <f t="shared" si="5"/>
        <v>11.790226666666666</v>
      </c>
      <c r="L18" s="22">
        <f>Test!B160</f>
        <v>2608.96</v>
      </c>
      <c r="M18" s="23">
        <f>Test!C160</f>
        <v>34.251199999999997</v>
      </c>
      <c r="N18" s="23">
        <f>Test!D160</f>
        <v>41.680199999999999</v>
      </c>
      <c r="O18" s="23">
        <f>Test!E160</f>
        <v>39.404299999999999</v>
      </c>
      <c r="P18" s="23">
        <f>Test!F160</f>
        <v>45367.891000000003</v>
      </c>
      <c r="Q18" s="23">
        <f>Test!G160</f>
        <v>16.922000000000001</v>
      </c>
      <c r="R18" s="24">
        <f t="shared" si="6"/>
        <v>12.602191944444446</v>
      </c>
      <c r="S18" s="17">
        <f t="shared" si="3"/>
        <v>1.0688676562998884</v>
      </c>
      <c r="T18" s="18">
        <f t="shared" si="4"/>
        <v>1.0523631840796022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8380.8575999999994</v>
      </c>
      <c r="E19" s="13">
        <f>Reference!C161</f>
        <v>37.951099999999997</v>
      </c>
      <c r="F19" s="13">
        <f>Reference!D161</f>
        <v>39.555900000000001</v>
      </c>
      <c r="G19" s="13">
        <f>Reference!E161</f>
        <v>42.55</v>
      </c>
      <c r="H19" s="13">
        <f>Reference!F161</f>
        <v>341294.96899999998</v>
      </c>
      <c r="I19" s="13">
        <f>Reference!G161</f>
        <v>27.053000000000001</v>
      </c>
      <c r="J19" s="14">
        <f t="shared" si="5"/>
        <v>94.804158055555547</v>
      </c>
      <c r="L19" s="12">
        <f>Test!B161</f>
        <v>0</v>
      </c>
      <c r="M19" s="13">
        <f>Test!C161</f>
        <v>0</v>
      </c>
      <c r="N19" s="13">
        <f>Test!D161</f>
        <v>0</v>
      </c>
      <c r="O19" s="13">
        <f>Test!E161</f>
        <v>0</v>
      </c>
      <c r="P19" s="13">
        <f>Test!F161</f>
        <v>0</v>
      </c>
      <c r="Q19" s="13">
        <f>Test!G161</f>
        <v>0</v>
      </c>
      <c r="R19" s="14">
        <f t="shared" si="6"/>
        <v>0</v>
      </c>
      <c r="S19" s="12">
        <f t="shared" si="3"/>
        <v>0</v>
      </c>
      <c r="T19" s="13">
        <f t="shared" si="4"/>
        <v>0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3975.3728000000001</v>
      </c>
      <c r="E20" s="18">
        <f>Reference!C162</f>
        <v>36.589500000000001</v>
      </c>
      <c r="F20" s="18">
        <f>Reference!D162</f>
        <v>38.840800000000002</v>
      </c>
      <c r="G20" s="18">
        <f>Reference!E162</f>
        <v>41.350999999999999</v>
      </c>
      <c r="H20" s="18">
        <f>Reference!F162</f>
        <v>214409.78099999999</v>
      </c>
      <c r="I20" s="18">
        <f>Reference!G162</f>
        <v>21.779</v>
      </c>
      <c r="J20" s="19">
        <f t="shared" si="5"/>
        <v>59.558272499999994</v>
      </c>
      <c r="L20" s="17">
        <f>Test!B162</f>
        <v>0</v>
      </c>
      <c r="M20" s="18">
        <f>Test!C162</f>
        <v>0</v>
      </c>
      <c r="N20" s="18">
        <f>Test!D162</f>
        <v>0</v>
      </c>
      <c r="O20" s="18">
        <f>Test!E162</f>
        <v>0</v>
      </c>
      <c r="P20" s="18">
        <f>Test!F162</f>
        <v>0</v>
      </c>
      <c r="Q20" s="18">
        <f>Test!G162</f>
        <v>0</v>
      </c>
      <c r="R20" s="19">
        <f t="shared" si="6"/>
        <v>0</v>
      </c>
      <c r="S20" s="17">
        <f t="shared" si="3"/>
        <v>0</v>
      </c>
      <c r="T20" s="18">
        <f t="shared" si="4"/>
        <v>0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1952.5616</v>
      </c>
      <c r="E21" s="18">
        <f>Reference!C163</f>
        <v>34.750599999999999</v>
      </c>
      <c r="F21" s="18">
        <f>Reference!D163</f>
        <v>37.945099999999996</v>
      </c>
      <c r="G21" s="18">
        <f>Reference!E163</f>
        <v>39.789700000000003</v>
      </c>
      <c r="H21" s="18">
        <f>Reference!F163</f>
        <v>113914.406</v>
      </c>
      <c r="I21" s="18">
        <f>Reference!G163</f>
        <v>17.931000000000001</v>
      </c>
      <c r="J21" s="19">
        <f t="shared" si="5"/>
        <v>31.642890555555557</v>
      </c>
      <c r="L21" s="17">
        <f>Test!B163</f>
        <v>0</v>
      </c>
      <c r="M21" s="18">
        <f>Test!C163</f>
        <v>0</v>
      </c>
      <c r="N21" s="18">
        <f>Test!D163</f>
        <v>0</v>
      </c>
      <c r="O21" s="18">
        <f>Test!E163</f>
        <v>0</v>
      </c>
      <c r="P21" s="18">
        <f>Test!F163</f>
        <v>0</v>
      </c>
      <c r="Q21" s="18">
        <f>Test!G163</f>
        <v>0</v>
      </c>
      <c r="R21" s="19">
        <f t="shared" si="6"/>
        <v>0</v>
      </c>
      <c r="S21" s="17">
        <f t="shared" si="3"/>
        <v>0</v>
      </c>
      <c r="T21" s="18">
        <f t="shared" si="4"/>
        <v>0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927.6336</v>
      </c>
      <c r="E22" s="23">
        <f>Reference!C164</f>
        <v>32.416899999999998</v>
      </c>
      <c r="F22" s="23">
        <f>Reference!D164</f>
        <v>36.8108</v>
      </c>
      <c r="G22" s="23">
        <f>Reference!E164</f>
        <v>38.077399999999997</v>
      </c>
      <c r="H22" s="23">
        <f>Reference!F164</f>
        <v>66638.789000000004</v>
      </c>
      <c r="I22" s="23">
        <f>Reference!G164</f>
        <v>14.066000000000001</v>
      </c>
      <c r="J22" s="24">
        <f t="shared" si="5"/>
        <v>18.510774722222223</v>
      </c>
      <c r="L22" s="22">
        <f>Test!B164</f>
        <v>0</v>
      </c>
      <c r="M22" s="23">
        <f>Test!C164</f>
        <v>0</v>
      </c>
      <c r="N22" s="23">
        <f>Test!D164</f>
        <v>0</v>
      </c>
      <c r="O22" s="23">
        <f>Test!E164</f>
        <v>0</v>
      </c>
      <c r="P22" s="23">
        <f>Test!F164</f>
        <v>0</v>
      </c>
      <c r="Q22" s="23">
        <f>Test!G164</f>
        <v>0</v>
      </c>
      <c r="R22" s="24">
        <f t="shared" si="6"/>
        <v>0</v>
      </c>
      <c r="S22" s="17">
        <f t="shared" si="3"/>
        <v>0</v>
      </c>
      <c r="T22" s="18">
        <f t="shared" si="4"/>
        <v>0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9658.0144</v>
      </c>
      <c r="E23" s="13">
        <f>Reference!C165</f>
        <v>38.687100000000001</v>
      </c>
      <c r="F23" s="13">
        <f>Reference!D165</f>
        <v>43.515700000000002</v>
      </c>
      <c r="G23" s="13">
        <f>Reference!E165</f>
        <v>44.398099999999999</v>
      </c>
      <c r="H23" s="13">
        <f>Reference!F165</f>
        <v>359856.75</v>
      </c>
      <c r="I23" s="13">
        <f>Reference!G165</f>
        <v>34.929000000000002</v>
      </c>
      <c r="J23" s="14">
        <f t="shared" si="5"/>
        <v>99.960208333333327</v>
      </c>
      <c r="L23" s="12">
        <f>Test!B165</f>
        <v>0</v>
      </c>
      <c r="M23" s="13">
        <f>Test!C165</f>
        <v>0</v>
      </c>
      <c r="N23" s="13">
        <f>Test!D165</f>
        <v>0</v>
      </c>
      <c r="O23" s="13">
        <f>Test!E165</f>
        <v>0</v>
      </c>
      <c r="P23" s="13">
        <f>Test!F165</f>
        <v>0</v>
      </c>
      <c r="Q23" s="13">
        <f>Test!G165</f>
        <v>0</v>
      </c>
      <c r="R23" s="14">
        <f t="shared" si="6"/>
        <v>0</v>
      </c>
      <c r="S23" s="17">
        <f t="shared" si="3"/>
        <v>0</v>
      </c>
      <c r="T23" s="18">
        <f t="shared" si="4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Reference!B166</f>
        <v>4957.2928000000002</v>
      </c>
      <c r="E24" s="18">
        <f>Reference!C166</f>
        <v>37.447800000000001</v>
      </c>
      <c r="F24" s="18">
        <f>Reference!D166</f>
        <v>42.489600000000003</v>
      </c>
      <c r="G24" s="18">
        <f>Reference!E166</f>
        <v>42.84</v>
      </c>
      <c r="H24" s="18">
        <f>Reference!F166</f>
        <v>224448.43799999999</v>
      </c>
      <c r="I24" s="18">
        <f>Reference!G166</f>
        <v>29.858000000000001</v>
      </c>
      <c r="J24" s="19">
        <f t="shared" si="5"/>
        <v>62.346788333333329</v>
      </c>
      <c r="L24" s="17">
        <f>Test!B166</f>
        <v>0</v>
      </c>
      <c r="M24" s="18">
        <f>Test!C166</f>
        <v>0</v>
      </c>
      <c r="N24" s="18">
        <f>Test!D166</f>
        <v>0</v>
      </c>
      <c r="O24" s="18">
        <f>Test!E166</f>
        <v>0</v>
      </c>
      <c r="P24" s="18">
        <f>Test!F166</f>
        <v>0</v>
      </c>
      <c r="Q24" s="18">
        <f>Test!G166</f>
        <v>0</v>
      </c>
      <c r="R24" s="19">
        <f t="shared" si="6"/>
        <v>0</v>
      </c>
      <c r="S24" s="17">
        <f t="shared" si="3"/>
        <v>0</v>
      </c>
      <c r="T24" s="18">
        <f t="shared" si="4"/>
        <v>0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2519.8591999999999</v>
      </c>
      <c r="E25" s="18">
        <f>Reference!C167</f>
        <v>35.746899999999997</v>
      </c>
      <c r="F25" s="18">
        <f>Reference!D167</f>
        <v>41.144399999999997</v>
      </c>
      <c r="G25" s="18">
        <f>Reference!E167</f>
        <v>41.003399999999999</v>
      </c>
      <c r="H25" s="18">
        <f>Reference!F167</f>
        <v>126297.461</v>
      </c>
      <c r="I25" s="18">
        <f>Reference!G167</f>
        <v>25.111999999999998</v>
      </c>
      <c r="J25" s="19">
        <f t="shared" si="5"/>
        <v>35.082628055555553</v>
      </c>
      <c r="L25" s="17">
        <f>Test!B167</f>
        <v>0</v>
      </c>
      <c r="M25" s="18">
        <f>Test!C167</f>
        <v>0</v>
      </c>
      <c r="N25" s="18">
        <f>Test!D167</f>
        <v>0</v>
      </c>
      <c r="O25" s="18">
        <f>Test!E167</f>
        <v>0</v>
      </c>
      <c r="P25" s="18">
        <f>Test!F167</f>
        <v>0</v>
      </c>
      <c r="Q25" s="18">
        <f>Test!G167</f>
        <v>0</v>
      </c>
      <c r="R25" s="19">
        <f t="shared" si="6"/>
        <v>0</v>
      </c>
      <c r="S25" s="17">
        <f t="shared" si="3"/>
        <v>0</v>
      </c>
      <c r="T25" s="18">
        <f t="shared" si="4"/>
        <v>0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1248.1472000000001</v>
      </c>
      <c r="E26" s="23">
        <f>Reference!C168</f>
        <v>33.648800000000001</v>
      </c>
      <c r="F26" s="23">
        <f>Reference!D168</f>
        <v>39.712600000000002</v>
      </c>
      <c r="G26" s="23">
        <f>Reference!E168</f>
        <v>39.100499999999997</v>
      </c>
      <c r="H26" s="23">
        <f>Reference!F168</f>
        <v>80535.781000000003</v>
      </c>
      <c r="I26" s="23">
        <f>Reference!G168</f>
        <v>21.853000000000002</v>
      </c>
      <c r="J26" s="24">
        <f t="shared" si="5"/>
        <v>22.37105027777778</v>
      </c>
      <c r="L26" s="22">
        <f>Test!B168</f>
        <v>0</v>
      </c>
      <c r="M26" s="23">
        <f>Test!C168</f>
        <v>0</v>
      </c>
      <c r="N26" s="23">
        <f>Test!D168</f>
        <v>0</v>
      </c>
      <c r="O26" s="23">
        <f>Test!E168</f>
        <v>0</v>
      </c>
      <c r="P26" s="23">
        <f>Test!F168</f>
        <v>0</v>
      </c>
      <c r="Q26" s="23">
        <f>Test!G168</f>
        <v>0</v>
      </c>
      <c r="R26" s="24">
        <f t="shared" si="6"/>
        <v>0</v>
      </c>
      <c r="S26" s="17">
        <f t="shared" si="3"/>
        <v>0</v>
      </c>
      <c r="T26" s="18">
        <f t="shared" si="4"/>
        <v>0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6598.5568000000003</v>
      </c>
      <c r="E27" s="13">
        <f>Reference!C169</f>
        <v>39.776800000000001</v>
      </c>
      <c r="F27" s="13">
        <f>Reference!D169</f>
        <v>43.434199999999997</v>
      </c>
      <c r="G27" s="13">
        <f>Reference!E169</f>
        <v>44.283099999999997</v>
      </c>
      <c r="H27" s="13">
        <f>Reference!F169</f>
        <v>315527.09399999998</v>
      </c>
      <c r="I27" s="13">
        <f>Reference!G169</f>
        <v>36.331000000000003</v>
      </c>
      <c r="J27" s="14">
        <f>H27/3600</f>
        <v>87.64641499999999</v>
      </c>
      <c r="L27" s="12">
        <f>Test!B169</f>
        <v>0</v>
      </c>
      <c r="M27" s="13">
        <f>Test!C169</f>
        <v>0</v>
      </c>
      <c r="N27" s="13">
        <f>Test!D169</f>
        <v>0</v>
      </c>
      <c r="O27" s="13">
        <f>Test!E169</f>
        <v>0</v>
      </c>
      <c r="P27" s="13">
        <f>Test!F169</f>
        <v>0</v>
      </c>
      <c r="Q27" s="13">
        <f>Test!G169</f>
        <v>0</v>
      </c>
      <c r="R27" s="14">
        <f>P27/3600</f>
        <v>0</v>
      </c>
      <c r="S27" s="17">
        <f t="shared" ref="S27:T46" si="7">P27/H27</f>
        <v>0</v>
      </c>
      <c r="T27" s="18">
        <f t="shared" si="7"/>
        <v>0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Reference!B170</f>
        <v>3152.8496</v>
      </c>
      <c r="E28" s="18">
        <f>Reference!C170</f>
        <v>38.475299999999997</v>
      </c>
      <c r="F28" s="18">
        <f>Reference!D170</f>
        <v>42.505800000000001</v>
      </c>
      <c r="G28" s="18">
        <f>Reference!E170</f>
        <v>43.343800000000002</v>
      </c>
      <c r="H28" s="18">
        <f>Reference!F170</f>
        <v>179993.125</v>
      </c>
      <c r="I28" s="18">
        <f>Reference!G170</f>
        <v>47.753</v>
      </c>
      <c r="J28" s="19">
        <f t="shared" ref="J28:J46" si="8">H28/3600</f>
        <v>49.998090277777777</v>
      </c>
      <c r="L28" s="17">
        <f>Test!B170</f>
        <v>0</v>
      </c>
      <c r="M28" s="18">
        <f>Test!C170</f>
        <v>0</v>
      </c>
      <c r="N28" s="18">
        <f>Test!D170</f>
        <v>0</v>
      </c>
      <c r="O28" s="18">
        <f>Test!E170</f>
        <v>0</v>
      </c>
      <c r="P28" s="18">
        <f>Test!F170</f>
        <v>0</v>
      </c>
      <c r="Q28" s="18">
        <f>Test!G170</f>
        <v>0</v>
      </c>
      <c r="R28" s="19">
        <f t="shared" ref="R28:R46" si="9">P28/3600</f>
        <v>0</v>
      </c>
      <c r="S28" s="17">
        <f t="shared" si="7"/>
        <v>0</v>
      </c>
      <c r="T28" s="18">
        <f t="shared" si="7"/>
        <v>0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1518.8527999999999</v>
      </c>
      <c r="E29" s="18">
        <f>Reference!C171</f>
        <v>36.656500000000001</v>
      </c>
      <c r="F29" s="18">
        <f>Reference!D171</f>
        <v>41.2684</v>
      </c>
      <c r="G29" s="18">
        <f>Reference!E171</f>
        <v>41.975200000000001</v>
      </c>
      <c r="H29" s="18">
        <f>Reference!F171</f>
        <v>99486.875</v>
      </c>
      <c r="I29" s="18">
        <f>Reference!G171</f>
        <v>25.577999999999999</v>
      </c>
      <c r="J29" s="19">
        <f t="shared" si="8"/>
        <v>27.635243055555556</v>
      </c>
      <c r="L29" s="17">
        <f>Test!B171</f>
        <v>0</v>
      </c>
      <c r="M29" s="18">
        <f>Test!C171</f>
        <v>0</v>
      </c>
      <c r="N29" s="18">
        <f>Test!D171</f>
        <v>0</v>
      </c>
      <c r="O29" s="18">
        <f>Test!E171</f>
        <v>0</v>
      </c>
      <c r="P29" s="18">
        <f>Test!F171</f>
        <v>0</v>
      </c>
      <c r="Q29" s="18">
        <f>Test!G171</f>
        <v>0</v>
      </c>
      <c r="R29" s="19">
        <f t="shared" si="9"/>
        <v>0</v>
      </c>
      <c r="S29" s="17">
        <f t="shared" si="7"/>
        <v>0</v>
      </c>
      <c r="T29" s="18">
        <f t="shared" si="7"/>
        <v>0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710.59519999999998</v>
      </c>
      <c r="E30" s="23">
        <f>Reference!C172</f>
        <v>34.356000000000002</v>
      </c>
      <c r="F30" s="23">
        <f>Reference!D172</f>
        <v>40.125999999999998</v>
      </c>
      <c r="G30" s="23">
        <f>Reference!E172</f>
        <v>40.621200000000002</v>
      </c>
      <c r="H30" s="23">
        <f>Reference!F172</f>
        <v>54647.148000000001</v>
      </c>
      <c r="I30" s="23">
        <f>Reference!G172</f>
        <v>21.311</v>
      </c>
      <c r="J30" s="24">
        <f t="shared" si="8"/>
        <v>15.179763333333334</v>
      </c>
      <c r="L30" s="22">
        <f>Test!B172</f>
        <v>0</v>
      </c>
      <c r="M30" s="23">
        <f>Test!C172</f>
        <v>0</v>
      </c>
      <c r="N30" s="23">
        <f>Test!D172</f>
        <v>0</v>
      </c>
      <c r="O30" s="23">
        <f>Test!E172</f>
        <v>0</v>
      </c>
      <c r="P30" s="23">
        <f>Test!F172</f>
        <v>0</v>
      </c>
      <c r="Q30" s="23">
        <f>Test!G172</f>
        <v>0</v>
      </c>
      <c r="R30" s="24">
        <f t="shared" si="9"/>
        <v>0</v>
      </c>
      <c r="S30" s="17">
        <f t="shared" si="7"/>
        <v>0</v>
      </c>
      <c r="T30" s="18">
        <f t="shared" si="7"/>
        <v>0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7065.1264000000001</v>
      </c>
      <c r="E31" s="13">
        <f>Reference!C173</f>
        <v>43.286999999999999</v>
      </c>
      <c r="F31" s="13">
        <f>Reference!D173</f>
        <v>46.082700000000003</v>
      </c>
      <c r="G31" s="13">
        <f>Reference!E173</f>
        <v>46.796100000000003</v>
      </c>
      <c r="H31" s="13">
        <f>Reference!F173</f>
        <v>282429.71899999998</v>
      </c>
      <c r="I31" s="13">
        <f>Reference!G173</f>
        <v>38.898000000000003</v>
      </c>
      <c r="J31" s="14">
        <f t="shared" si="8"/>
        <v>78.452699722222221</v>
      </c>
      <c r="L31" s="12">
        <f>Test!B173</f>
        <v>0</v>
      </c>
      <c r="M31" s="13">
        <f>Test!C173</f>
        <v>0</v>
      </c>
      <c r="N31" s="13">
        <f>Test!D173</f>
        <v>0</v>
      </c>
      <c r="O31" s="13">
        <f>Test!E173</f>
        <v>0</v>
      </c>
      <c r="P31" s="13">
        <f>Test!F173</f>
        <v>0</v>
      </c>
      <c r="Q31" s="13">
        <f>Test!G173</f>
        <v>0</v>
      </c>
      <c r="R31" s="14">
        <f t="shared" si="9"/>
        <v>0</v>
      </c>
      <c r="S31" s="17">
        <f t="shared" si="7"/>
        <v>0</v>
      </c>
      <c r="T31" s="18">
        <f t="shared" si="7"/>
        <v>0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Reference!B174</f>
        <v>4299.9183999999996</v>
      </c>
      <c r="E32" s="18">
        <f>Reference!C174</f>
        <v>40.9696</v>
      </c>
      <c r="F32" s="18">
        <f>Reference!D174</f>
        <v>44.570700000000002</v>
      </c>
      <c r="G32" s="18">
        <f>Reference!E174</f>
        <v>45.102800000000002</v>
      </c>
      <c r="H32" s="18">
        <f>Reference!F174</f>
        <v>188807</v>
      </c>
      <c r="I32" s="18">
        <f>Reference!G174</f>
        <v>51.360999999999997</v>
      </c>
      <c r="J32" s="19">
        <f t="shared" si="8"/>
        <v>52.44638888888889</v>
      </c>
      <c r="L32" s="17">
        <f>Test!B174</f>
        <v>0</v>
      </c>
      <c r="M32" s="18">
        <f>Test!C174</f>
        <v>0</v>
      </c>
      <c r="N32" s="18">
        <f>Test!D174</f>
        <v>0</v>
      </c>
      <c r="O32" s="18">
        <f>Test!E174</f>
        <v>0</v>
      </c>
      <c r="P32" s="18">
        <f>Test!F174</f>
        <v>0</v>
      </c>
      <c r="Q32" s="18">
        <f>Test!G174</f>
        <v>0</v>
      </c>
      <c r="R32" s="19">
        <f t="shared" si="9"/>
        <v>0</v>
      </c>
      <c r="S32" s="17">
        <f t="shared" si="7"/>
        <v>0</v>
      </c>
      <c r="T32" s="18">
        <f t="shared" si="7"/>
        <v>0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2372.4416000000001</v>
      </c>
      <c r="E33" s="18">
        <f>Reference!C175</f>
        <v>38.164700000000003</v>
      </c>
      <c r="F33" s="18">
        <f>Reference!D175</f>
        <v>42.932000000000002</v>
      </c>
      <c r="G33" s="18">
        <f>Reference!E175</f>
        <v>43.236199999999997</v>
      </c>
      <c r="H33" s="18">
        <f>Reference!F175</f>
        <v>116352.80499999999</v>
      </c>
      <c r="I33" s="18">
        <f>Reference!G175</f>
        <v>28.356999999999999</v>
      </c>
      <c r="J33" s="19">
        <f t="shared" si="8"/>
        <v>32.320223611111111</v>
      </c>
      <c r="L33" s="17">
        <f>Test!B175</f>
        <v>0</v>
      </c>
      <c r="M33" s="18">
        <f>Test!C175</f>
        <v>0</v>
      </c>
      <c r="N33" s="18">
        <f>Test!D175</f>
        <v>0</v>
      </c>
      <c r="O33" s="18">
        <f>Test!E175</f>
        <v>0</v>
      </c>
      <c r="P33" s="18">
        <f>Test!F175</f>
        <v>0</v>
      </c>
      <c r="Q33" s="18">
        <f>Test!G175</f>
        <v>0</v>
      </c>
      <c r="R33" s="19">
        <f t="shared" si="9"/>
        <v>0</v>
      </c>
      <c r="S33" s="17">
        <f t="shared" si="7"/>
        <v>0</v>
      </c>
      <c r="T33" s="18">
        <f t="shared" si="7"/>
        <v>0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1232.8112000000001</v>
      </c>
      <c r="E34" s="23">
        <f>Reference!C176</f>
        <v>35.21</v>
      </c>
      <c r="F34" s="23">
        <f>Reference!D176</f>
        <v>41.435400000000001</v>
      </c>
      <c r="G34" s="23">
        <f>Reference!E176</f>
        <v>41.444200000000002</v>
      </c>
      <c r="H34" s="23">
        <f>Reference!F176</f>
        <v>70066.866999999998</v>
      </c>
      <c r="I34" s="23">
        <f>Reference!G176</f>
        <v>23.225000000000001</v>
      </c>
      <c r="J34" s="24">
        <f t="shared" si="8"/>
        <v>19.46301861111111</v>
      </c>
      <c r="L34" s="22">
        <f>Test!B176</f>
        <v>0</v>
      </c>
      <c r="M34" s="23">
        <f>Test!C176</f>
        <v>0</v>
      </c>
      <c r="N34" s="23">
        <f>Test!D176</f>
        <v>0</v>
      </c>
      <c r="O34" s="23">
        <f>Test!E176</f>
        <v>0</v>
      </c>
      <c r="P34" s="23">
        <f>Test!F176</f>
        <v>0</v>
      </c>
      <c r="Q34" s="23">
        <f>Test!G176</f>
        <v>0</v>
      </c>
      <c r="R34" s="24">
        <f t="shared" si="9"/>
        <v>0</v>
      </c>
      <c r="S34" s="17">
        <f t="shared" si="7"/>
        <v>0</v>
      </c>
      <c r="T34" s="18">
        <f t="shared" si="7"/>
        <v>0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4887.5824000000002</v>
      </c>
      <c r="E35" s="13">
        <f>Reference!C177</f>
        <v>38.368699999999997</v>
      </c>
      <c r="F35" s="13">
        <f>Reference!D177</f>
        <v>44.987000000000002</v>
      </c>
      <c r="G35" s="13">
        <f>Reference!E177</f>
        <v>45.274900000000002</v>
      </c>
      <c r="H35" s="13">
        <f>Reference!F177</f>
        <v>178209.78099999999</v>
      </c>
      <c r="I35" s="13">
        <f>Reference!G177</f>
        <v>25.257000000000001</v>
      </c>
      <c r="J35" s="14">
        <f t="shared" si="8"/>
        <v>49.502716944444444</v>
      </c>
      <c r="L35" s="12">
        <f>Test!B177</f>
        <v>0</v>
      </c>
      <c r="M35" s="13">
        <f>Test!C177</f>
        <v>0</v>
      </c>
      <c r="N35" s="13">
        <f>Test!D177</f>
        <v>0</v>
      </c>
      <c r="O35" s="13">
        <f>Test!E177</f>
        <v>0</v>
      </c>
      <c r="P35" s="13">
        <f>Test!F177</f>
        <v>0</v>
      </c>
      <c r="Q35" s="13">
        <f>Test!G177</f>
        <v>0</v>
      </c>
      <c r="R35" s="14">
        <f t="shared" si="9"/>
        <v>0</v>
      </c>
      <c r="S35" s="12">
        <f t="shared" si="7"/>
        <v>0</v>
      </c>
      <c r="T35" s="13">
        <f t="shared" si="7"/>
        <v>0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1709.4656</v>
      </c>
      <c r="E36" s="18">
        <f>Reference!C178</f>
        <v>36.369900000000001</v>
      </c>
      <c r="F36" s="18">
        <f>Reference!D178</f>
        <v>43.770099999999999</v>
      </c>
      <c r="G36" s="18">
        <f>Reference!E178</f>
        <v>44.099400000000003</v>
      </c>
      <c r="H36" s="18">
        <f>Reference!F178</f>
        <v>88902.023000000001</v>
      </c>
      <c r="I36" s="18">
        <f>Reference!G178</f>
        <v>11.92</v>
      </c>
      <c r="J36" s="19">
        <f t="shared" si="8"/>
        <v>24.695006388888888</v>
      </c>
      <c r="L36" s="17">
        <f>Test!B178</f>
        <v>0</v>
      </c>
      <c r="M36" s="18">
        <f>Test!C178</f>
        <v>0</v>
      </c>
      <c r="N36" s="18">
        <f>Test!D178</f>
        <v>0</v>
      </c>
      <c r="O36" s="18">
        <f>Test!E178</f>
        <v>0</v>
      </c>
      <c r="P36" s="18">
        <f>Test!F178</f>
        <v>0</v>
      </c>
      <c r="Q36" s="18">
        <f>Test!G178</f>
        <v>0</v>
      </c>
      <c r="R36" s="19">
        <f t="shared" si="9"/>
        <v>0</v>
      </c>
      <c r="S36" s="17">
        <f t="shared" si="7"/>
        <v>0</v>
      </c>
      <c r="T36" s="18">
        <f t="shared" si="7"/>
        <v>0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672.23519999999996</v>
      </c>
      <c r="E37" s="18">
        <f>Reference!C179</f>
        <v>33.919600000000003</v>
      </c>
      <c r="F37" s="18">
        <f>Reference!D179</f>
        <v>42.164200000000001</v>
      </c>
      <c r="G37" s="18">
        <f>Reference!E179</f>
        <v>42.492199999999997</v>
      </c>
      <c r="H37" s="18">
        <f>Reference!F179</f>
        <v>48464.23</v>
      </c>
      <c r="I37" s="18">
        <f>Reference!G179</f>
        <v>8.8610000000000007</v>
      </c>
      <c r="J37" s="19">
        <f t="shared" si="8"/>
        <v>13.462286111111112</v>
      </c>
      <c r="L37" s="17">
        <f>Test!B179</f>
        <v>0</v>
      </c>
      <c r="M37" s="18">
        <f>Test!C179</f>
        <v>0</v>
      </c>
      <c r="N37" s="18">
        <f>Test!D179</f>
        <v>0</v>
      </c>
      <c r="O37" s="18">
        <f>Test!E179</f>
        <v>0</v>
      </c>
      <c r="P37" s="18">
        <f>Test!F179</f>
        <v>0</v>
      </c>
      <c r="Q37" s="18">
        <f>Test!G179</f>
        <v>0</v>
      </c>
      <c r="R37" s="19">
        <f t="shared" si="9"/>
        <v>0</v>
      </c>
      <c r="S37" s="17">
        <f t="shared" si="7"/>
        <v>0</v>
      </c>
      <c r="T37" s="18">
        <f t="shared" si="7"/>
        <v>0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280.84320000000002</v>
      </c>
      <c r="E38" s="23">
        <f>Reference!C180</f>
        <v>30.890899999999998</v>
      </c>
      <c r="F38" s="23">
        <f>Reference!D180</f>
        <v>40.843000000000004</v>
      </c>
      <c r="G38" s="23">
        <f>Reference!E180</f>
        <v>41.336500000000001</v>
      </c>
      <c r="H38" s="23">
        <f>Reference!F180</f>
        <v>27552.307000000001</v>
      </c>
      <c r="I38" s="23">
        <f>Reference!G180</f>
        <v>7.3079999999999998</v>
      </c>
      <c r="J38" s="24">
        <f t="shared" si="8"/>
        <v>7.6534186111111113</v>
      </c>
      <c r="L38" s="22">
        <f>Test!B180</f>
        <v>276.11040000000003</v>
      </c>
      <c r="M38" s="23">
        <f>Test!C180</f>
        <v>30.9069</v>
      </c>
      <c r="N38" s="23">
        <f>Test!D180</f>
        <v>40.854100000000003</v>
      </c>
      <c r="O38" s="23">
        <f>Test!E180</f>
        <v>41.406500000000001</v>
      </c>
      <c r="P38" s="23">
        <f>Test!F180</f>
        <v>31225.391</v>
      </c>
      <c r="Q38" s="23">
        <f>Test!G180</f>
        <v>7.5819999999999999</v>
      </c>
      <c r="R38" s="24">
        <f t="shared" si="9"/>
        <v>8.6737197222222218</v>
      </c>
      <c r="S38" s="17">
        <f t="shared" si="7"/>
        <v>1.1333131196599979</v>
      </c>
      <c r="T38" s="18">
        <f t="shared" si="7"/>
        <v>1.0374931581828133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3998.0383999999999</v>
      </c>
      <c r="E39" s="13">
        <f>Reference!C181</f>
        <v>40.4604</v>
      </c>
      <c r="F39" s="13">
        <f>Reference!D181</f>
        <v>45.130200000000002</v>
      </c>
      <c r="G39" s="13">
        <f>Reference!E181</f>
        <v>45.914900000000003</v>
      </c>
      <c r="H39" s="13">
        <f>Reference!F181</f>
        <v>175900.54699999999</v>
      </c>
      <c r="I39" s="13">
        <f>Reference!G181</f>
        <v>17.661000000000001</v>
      </c>
      <c r="J39" s="14">
        <f t="shared" si="8"/>
        <v>48.861263055555554</v>
      </c>
      <c r="L39" s="12">
        <f>Test!B181</f>
        <v>0</v>
      </c>
      <c r="M39" s="13">
        <f>Test!C181</f>
        <v>0</v>
      </c>
      <c r="N39" s="13">
        <f>Test!D181</f>
        <v>0</v>
      </c>
      <c r="O39" s="13">
        <f>Test!E181</f>
        <v>0</v>
      </c>
      <c r="P39" s="13">
        <f>Test!F181</f>
        <v>0</v>
      </c>
      <c r="Q39" s="13">
        <f>Test!G181</f>
        <v>0</v>
      </c>
      <c r="R39" s="14">
        <f t="shared" si="9"/>
        <v>0</v>
      </c>
      <c r="S39" s="17">
        <f t="shared" si="7"/>
        <v>0</v>
      </c>
      <c r="T39" s="18">
        <f t="shared" si="7"/>
        <v>0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Reference!B182</f>
        <v>1834.3471999999999</v>
      </c>
      <c r="E40" s="18">
        <f>Reference!C182</f>
        <v>38.825600000000001</v>
      </c>
      <c r="F40" s="18">
        <f>Reference!D182</f>
        <v>44.215400000000002</v>
      </c>
      <c r="G40" s="18">
        <f>Reference!E182</f>
        <v>44.326300000000003</v>
      </c>
      <c r="H40" s="18">
        <f>Reference!F182</f>
        <v>88684.297000000006</v>
      </c>
      <c r="I40" s="18">
        <f>Reference!G182</f>
        <v>13.956</v>
      </c>
      <c r="J40" s="19">
        <f t="shared" si="8"/>
        <v>24.634526944444445</v>
      </c>
      <c r="L40" s="17">
        <f>Test!B182</f>
        <v>0</v>
      </c>
      <c r="M40" s="18">
        <f>Test!C182</f>
        <v>0</v>
      </c>
      <c r="N40" s="18">
        <f>Test!D182</f>
        <v>0</v>
      </c>
      <c r="O40" s="18">
        <f>Test!E182</f>
        <v>0</v>
      </c>
      <c r="P40" s="18">
        <f>Test!F182</f>
        <v>0</v>
      </c>
      <c r="Q40" s="18">
        <f>Test!G182</f>
        <v>0</v>
      </c>
      <c r="R40" s="19">
        <f t="shared" si="9"/>
        <v>0</v>
      </c>
      <c r="S40" s="17">
        <f t="shared" si="7"/>
        <v>0</v>
      </c>
      <c r="T40" s="18">
        <f t="shared" si="7"/>
        <v>0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879.59199999999998</v>
      </c>
      <c r="E41" s="18">
        <f>Reference!C183</f>
        <v>36.881</v>
      </c>
      <c r="F41" s="18">
        <f>Reference!D183</f>
        <v>43.117800000000003</v>
      </c>
      <c r="G41" s="18">
        <f>Reference!E183</f>
        <v>42.434800000000003</v>
      </c>
      <c r="H41" s="18">
        <f>Reference!F183</f>
        <v>50296.805</v>
      </c>
      <c r="I41" s="18">
        <f>Reference!G183</f>
        <v>11.343999999999999</v>
      </c>
      <c r="J41" s="19">
        <f t="shared" si="8"/>
        <v>13.971334722222222</v>
      </c>
      <c r="L41" s="17">
        <f>Test!B183</f>
        <v>0</v>
      </c>
      <c r="M41" s="18">
        <f>Test!C183</f>
        <v>0</v>
      </c>
      <c r="N41" s="18">
        <f>Test!D183</f>
        <v>0</v>
      </c>
      <c r="O41" s="18">
        <f>Test!E183</f>
        <v>0</v>
      </c>
      <c r="P41" s="18">
        <f>Test!F183</f>
        <v>0</v>
      </c>
      <c r="Q41" s="18">
        <f>Test!G183</f>
        <v>0</v>
      </c>
      <c r="R41" s="19">
        <f t="shared" si="9"/>
        <v>0</v>
      </c>
      <c r="S41" s="17">
        <f t="shared" si="7"/>
        <v>0</v>
      </c>
      <c r="T41" s="18">
        <f t="shared" si="7"/>
        <v>0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412.81279999999998</v>
      </c>
      <c r="E42" s="23">
        <f>Reference!C184</f>
        <v>34.646999999999998</v>
      </c>
      <c r="F42" s="23">
        <f>Reference!D184</f>
        <v>41.804200000000002</v>
      </c>
      <c r="G42" s="23">
        <f>Reference!E184</f>
        <v>40.537500000000001</v>
      </c>
      <c r="H42" s="23">
        <f>Reference!F184</f>
        <v>27356.467000000001</v>
      </c>
      <c r="I42" s="23">
        <f>Reference!G184</f>
        <v>8.6129999999999995</v>
      </c>
      <c r="J42" s="24">
        <f t="shared" si="8"/>
        <v>7.5990186111111111</v>
      </c>
      <c r="L42" s="22">
        <f>Test!B184</f>
        <v>404.94400000000002</v>
      </c>
      <c r="M42" s="23">
        <f>Test!C184</f>
        <v>34.697800000000001</v>
      </c>
      <c r="N42" s="23">
        <f>Test!D184</f>
        <v>42.001600000000003</v>
      </c>
      <c r="O42" s="23">
        <f>Test!E184</f>
        <v>40.640999999999998</v>
      </c>
      <c r="P42" s="23">
        <f>Test!F184</f>
        <v>27206.754000000001</v>
      </c>
      <c r="Q42" s="23">
        <f>Test!G184</f>
        <v>8.86</v>
      </c>
      <c r="R42" s="24">
        <f t="shared" si="9"/>
        <v>7.557431666666667</v>
      </c>
      <c r="S42" s="17">
        <f t="shared" si="7"/>
        <v>0.99452732693881851</v>
      </c>
      <c r="T42" s="18">
        <f t="shared" si="7"/>
        <v>1.0286775804017183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988.52959999999996</v>
      </c>
      <c r="E43" s="13">
        <f>Reference!C185</f>
        <v>42.904600000000002</v>
      </c>
      <c r="F43" s="13">
        <f>Reference!D185</f>
        <v>46.4893</v>
      </c>
      <c r="G43" s="13">
        <f>Reference!E185</f>
        <v>47.313699999999997</v>
      </c>
      <c r="H43" s="13">
        <f>Reference!F185</f>
        <v>56647.987999999998</v>
      </c>
      <c r="I43" s="13">
        <f>Reference!G185</f>
        <v>8.7379999999999995</v>
      </c>
      <c r="J43" s="14">
        <f t="shared" si="8"/>
        <v>15.735552222222221</v>
      </c>
      <c r="L43" s="12">
        <f>Test!B185</f>
        <v>0</v>
      </c>
      <c r="M43" s="13">
        <f>Test!C185</f>
        <v>0</v>
      </c>
      <c r="N43" s="13">
        <f>Test!D185</f>
        <v>0</v>
      </c>
      <c r="O43" s="13">
        <f>Test!E185</f>
        <v>0</v>
      </c>
      <c r="P43" s="13">
        <f>Test!F185</f>
        <v>0</v>
      </c>
      <c r="Q43" s="13">
        <f>Test!G185</f>
        <v>0</v>
      </c>
      <c r="R43" s="14">
        <f t="shared" si="9"/>
        <v>0</v>
      </c>
      <c r="S43" s="17">
        <f t="shared" si="7"/>
        <v>0</v>
      </c>
      <c r="T43" s="18">
        <f t="shared" si="7"/>
        <v>0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Reference!B186</f>
        <v>508.7824</v>
      </c>
      <c r="E44" s="18">
        <f>Reference!C186</f>
        <v>41.276499999999999</v>
      </c>
      <c r="F44" s="18">
        <f>Reference!D186</f>
        <v>45.559600000000003</v>
      </c>
      <c r="G44" s="18">
        <f>Reference!E186</f>
        <v>46.184399999999997</v>
      </c>
      <c r="H44" s="18">
        <f>Reference!F186</f>
        <v>33262.105000000003</v>
      </c>
      <c r="I44" s="18">
        <f>Reference!G186</f>
        <v>7.0380000000000003</v>
      </c>
      <c r="J44" s="19">
        <f t="shared" si="8"/>
        <v>9.2394736111111122</v>
      </c>
      <c r="L44" s="17">
        <f>Test!B186</f>
        <v>0</v>
      </c>
      <c r="M44" s="18">
        <f>Test!C186</f>
        <v>0</v>
      </c>
      <c r="N44" s="18">
        <f>Test!D186</f>
        <v>0</v>
      </c>
      <c r="O44" s="18">
        <f>Test!E186</f>
        <v>0</v>
      </c>
      <c r="P44" s="18">
        <f>Test!F186</f>
        <v>0</v>
      </c>
      <c r="Q44" s="18">
        <f>Test!G186</f>
        <v>0</v>
      </c>
      <c r="R44" s="19">
        <f t="shared" si="9"/>
        <v>0</v>
      </c>
      <c r="S44" s="17">
        <f t="shared" si="7"/>
        <v>0</v>
      </c>
      <c r="T44" s="18">
        <f t="shared" si="7"/>
        <v>0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271.43200000000002</v>
      </c>
      <c r="E45" s="18">
        <f>Reference!C187</f>
        <v>39.090000000000003</v>
      </c>
      <c r="F45" s="18">
        <f>Reference!D187</f>
        <v>44.197600000000001</v>
      </c>
      <c r="G45" s="18">
        <f>Reference!E187</f>
        <v>44.595300000000002</v>
      </c>
      <c r="H45" s="18">
        <f>Reference!F187</f>
        <v>19441.855</v>
      </c>
      <c r="I45" s="18">
        <f>Reference!G187</f>
        <v>5.3019999999999996</v>
      </c>
      <c r="J45" s="19">
        <f t="shared" si="8"/>
        <v>5.4005152777777781</v>
      </c>
      <c r="L45" s="17">
        <f>Test!B187</f>
        <v>265.2432</v>
      </c>
      <c r="M45" s="18">
        <f>Test!C187</f>
        <v>39.119199999999999</v>
      </c>
      <c r="N45" s="18">
        <f>Test!D187</f>
        <v>44.237200000000001</v>
      </c>
      <c r="O45" s="18">
        <f>Test!E187</f>
        <v>44.6875</v>
      </c>
      <c r="P45" s="18">
        <f>Test!F187</f>
        <v>20716.407999999999</v>
      </c>
      <c r="Q45" s="18">
        <f>Test!G187</f>
        <v>5.891</v>
      </c>
      <c r="R45" s="19">
        <f t="shared" si="9"/>
        <v>5.7545577777777774</v>
      </c>
      <c r="S45" s="17">
        <f t="shared" si="7"/>
        <v>1.0655571703420275</v>
      </c>
      <c r="T45" s="18">
        <f t="shared" si="7"/>
        <v>1.1110901546586194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147.96</v>
      </c>
      <c r="E46" s="23">
        <f>Reference!C188</f>
        <v>36.278399999999998</v>
      </c>
      <c r="F46" s="23">
        <f>Reference!D188</f>
        <v>42.571199999999997</v>
      </c>
      <c r="G46" s="23">
        <f>Reference!E188</f>
        <v>42.852800000000002</v>
      </c>
      <c r="H46" s="23">
        <f>Reference!F188</f>
        <v>11708.388000000001</v>
      </c>
      <c r="I46" s="23">
        <f>Reference!G188</f>
        <v>4.6829999999999998</v>
      </c>
      <c r="J46" s="24">
        <f t="shared" si="8"/>
        <v>3.2523300000000002</v>
      </c>
      <c r="L46" s="22">
        <f>Test!B188</f>
        <v>143.2448</v>
      </c>
      <c r="M46" s="23">
        <f>Test!C188</f>
        <v>36.344200000000001</v>
      </c>
      <c r="N46" s="23">
        <f>Test!D188</f>
        <v>42.581400000000002</v>
      </c>
      <c r="O46" s="23">
        <f>Test!E188</f>
        <v>42.939500000000002</v>
      </c>
      <c r="P46" s="23">
        <f>Test!F188</f>
        <v>12461.21</v>
      </c>
      <c r="Q46" s="23">
        <f>Test!G188</f>
        <v>5.3920000000000003</v>
      </c>
      <c r="R46" s="24">
        <f t="shared" si="9"/>
        <v>3.4614472222222221</v>
      </c>
      <c r="S46" s="17">
        <f t="shared" si="7"/>
        <v>1.0642976642045001</v>
      </c>
      <c r="T46" s="18">
        <f t="shared" si="7"/>
        <v>1.1513986760623534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1369.184</v>
      </c>
      <c r="E47" s="13">
        <f>Reference!C189</f>
        <v>42.606299999999997</v>
      </c>
      <c r="F47" s="13">
        <f>Reference!D189</f>
        <v>48.028700000000001</v>
      </c>
      <c r="G47" s="13">
        <f>Reference!E189</f>
        <v>47.399299999999997</v>
      </c>
      <c r="H47" s="13">
        <f>Reference!F189</f>
        <v>72261.804999999993</v>
      </c>
      <c r="I47" s="13">
        <f>Reference!G189</f>
        <v>10.103999999999999</v>
      </c>
      <c r="J47" s="14">
        <f>H47/3600</f>
        <v>20.072723611111108</v>
      </c>
      <c r="L47" s="12">
        <f>Test!B189</f>
        <v>0</v>
      </c>
      <c r="M47" s="13">
        <f>Test!C189</f>
        <v>0</v>
      </c>
      <c r="N47" s="13">
        <f>Test!D189</f>
        <v>0</v>
      </c>
      <c r="O47" s="13">
        <f>Test!E189</f>
        <v>0</v>
      </c>
      <c r="P47" s="13">
        <f>Test!F189</f>
        <v>0</v>
      </c>
      <c r="Q47" s="13">
        <f>Test!G189</f>
        <v>0</v>
      </c>
      <c r="R47" s="14">
        <f>P47/3600</f>
        <v>0</v>
      </c>
      <c r="S47" s="17">
        <f t="shared" ref="S47:T62" si="10">P47/H47</f>
        <v>0</v>
      </c>
      <c r="T47" s="18">
        <f t="shared" si="10"/>
        <v>0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Reference!B190</f>
        <v>676.90239999999994</v>
      </c>
      <c r="E48" s="18">
        <f>Reference!C190</f>
        <v>40.9101</v>
      </c>
      <c r="F48" s="18">
        <f>Reference!D190</f>
        <v>47.203600000000002</v>
      </c>
      <c r="G48" s="18">
        <f>Reference!E190</f>
        <v>46.173200000000001</v>
      </c>
      <c r="H48" s="18">
        <f>Reference!F190</f>
        <v>36591.031000000003</v>
      </c>
      <c r="I48" s="18">
        <f>Reference!G190</f>
        <v>7.6840000000000002</v>
      </c>
      <c r="J48" s="19">
        <f t="shared" ref="J48:J70" si="11">H48/3600</f>
        <v>10.164175277777778</v>
      </c>
      <c r="L48" s="17">
        <f>Test!B190</f>
        <v>0</v>
      </c>
      <c r="M48" s="18">
        <f>Test!C190</f>
        <v>0</v>
      </c>
      <c r="N48" s="18">
        <f>Test!D190</f>
        <v>0</v>
      </c>
      <c r="O48" s="18">
        <f>Test!E190</f>
        <v>0</v>
      </c>
      <c r="P48" s="18">
        <f>Test!F190</f>
        <v>0</v>
      </c>
      <c r="Q48" s="18">
        <f>Test!G190</f>
        <v>0</v>
      </c>
      <c r="R48" s="19">
        <f t="shared" ref="R48:R70" si="12">P48/3600</f>
        <v>0</v>
      </c>
      <c r="S48" s="17">
        <f t="shared" si="10"/>
        <v>0</v>
      </c>
      <c r="T48" s="18">
        <f t="shared" si="10"/>
        <v>0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359.14080000000001</v>
      </c>
      <c r="E49" s="18">
        <f>Reference!C191</f>
        <v>38.5944</v>
      </c>
      <c r="F49" s="18">
        <f>Reference!D191</f>
        <v>46.064900000000002</v>
      </c>
      <c r="G49" s="18">
        <f>Reference!E191</f>
        <v>44.511600000000001</v>
      </c>
      <c r="H49" s="18">
        <f>Reference!F191</f>
        <v>21111.956999999999</v>
      </c>
      <c r="I49" s="18">
        <f>Reference!G191</f>
        <v>5.8940000000000001</v>
      </c>
      <c r="J49" s="19">
        <f t="shared" si="11"/>
        <v>5.8644324999999995</v>
      </c>
      <c r="L49" s="17">
        <f>Test!B191</f>
        <v>354.39519999999999</v>
      </c>
      <c r="M49" s="18">
        <f>Test!C191</f>
        <v>38.618200000000002</v>
      </c>
      <c r="N49" s="18">
        <f>Test!D191</f>
        <v>46.027799999999999</v>
      </c>
      <c r="O49" s="18">
        <f>Test!E191</f>
        <v>44.580100000000002</v>
      </c>
      <c r="P49" s="18">
        <f>Test!F191</f>
        <v>22485.276999999998</v>
      </c>
      <c r="Q49" s="18">
        <f>Test!G191</f>
        <v>6.2880000000000003</v>
      </c>
      <c r="R49" s="19">
        <f t="shared" si="12"/>
        <v>6.2459102777777771</v>
      </c>
      <c r="S49" s="17">
        <f t="shared" si="10"/>
        <v>1.065049393573509</v>
      </c>
      <c r="T49" s="18">
        <f t="shared" si="10"/>
        <v>1.0668476416694945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196.32480000000001</v>
      </c>
      <c r="E50" s="23">
        <f>Reference!C192</f>
        <v>35.512500000000003</v>
      </c>
      <c r="F50" s="23">
        <f>Reference!D192</f>
        <v>44.866500000000002</v>
      </c>
      <c r="G50" s="23">
        <f>Reference!E192</f>
        <v>42.4617</v>
      </c>
      <c r="H50" s="23">
        <f>Reference!F192</f>
        <v>13355.763999999999</v>
      </c>
      <c r="I50" s="23">
        <f>Reference!G192</f>
        <v>5.3970000000000002</v>
      </c>
      <c r="J50" s="24">
        <f t="shared" si="11"/>
        <v>3.7099344444444444</v>
      </c>
      <c r="L50" s="22">
        <f>Test!B192</f>
        <v>193.21119999999999</v>
      </c>
      <c r="M50" s="23">
        <f>Test!C192</f>
        <v>35.569400000000002</v>
      </c>
      <c r="N50" s="23">
        <f>Test!D192</f>
        <v>44.599899999999998</v>
      </c>
      <c r="O50" s="23">
        <f>Test!E192</f>
        <v>42.285400000000003</v>
      </c>
      <c r="P50" s="23">
        <f>Test!F192</f>
        <v>14292.877</v>
      </c>
      <c r="Q50" s="23">
        <f>Test!G192</f>
        <v>5.7430000000000003</v>
      </c>
      <c r="R50" s="24">
        <f t="shared" si="12"/>
        <v>3.970243611111111</v>
      </c>
      <c r="S50" s="22">
        <f t="shared" si="10"/>
        <v>1.070165435687543</v>
      </c>
      <c r="T50" s="23">
        <f t="shared" si="10"/>
        <v>1.0641096905688345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21.584479186935607</v>
      </c>
      <c r="J75" s="15">
        <f>GEOMEAN(J3:J18)</f>
        <v>32.182014365336023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7">AVERAGE(W3:W18)</f>
        <v>#VALUE!</v>
      </c>
      <c r="X75" s="42" t="e">
        <f t="shared" si="17"/>
        <v>#VALUE!</v>
      </c>
      <c r="Y75" s="37" t="e">
        <f>AVERAGE(Y3:Y18)</f>
        <v>#VALUE!</v>
      </c>
      <c r="Z75" s="42" t="e">
        <f t="shared" si="17"/>
        <v>#VALUE!</v>
      </c>
      <c r="AA75" s="43" t="e">
        <f t="shared" si="17"/>
        <v>#VALUE!</v>
      </c>
    </row>
    <row r="76" spans="1:27" x14ac:dyDescent="0.2">
      <c r="B76" s="89" t="s">
        <v>47</v>
      </c>
      <c r="I76" s="15">
        <f>GEOMEAN(I19:I34)</f>
        <v>27.481286270982899</v>
      </c>
      <c r="J76" s="15">
        <f>GEOMEAN(J19:J34)</f>
        <v>41.485336392311851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38" t="e">
        <f>AVERAGE(V19:V34)</f>
        <v>#VALUE!</v>
      </c>
      <c r="W76" s="25" t="e">
        <f t="shared" ref="W76:AA76" si="18">AVERAGE(W19:W34)</f>
        <v>#VALUE!</v>
      </c>
      <c r="X76" s="25" t="e">
        <f t="shared" si="18"/>
        <v>#VALUE!</v>
      </c>
      <c r="Y76" s="38" t="e">
        <f t="shared" si="18"/>
        <v>#VALUE!</v>
      </c>
      <c r="Z76" s="25" t="e">
        <f t="shared" si="18"/>
        <v>#VALUE!</v>
      </c>
      <c r="AA76" s="50" t="e">
        <f t="shared" si="18"/>
        <v>#VALUE!</v>
      </c>
    </row>
    <row r="77" spans="1:27" x14ac:dyDescent="0.2">
      <c r="B77" s="89" t="s">
        <v>51</v>
      </c>
      <c r="I77" s="15">
        <f>GEOMEAN(I35:I50)</f>
        <v>8.9744230871951949</v>
      </c>
      <c r="J77" s="15">
        <f>GEOMEAN(J35:J50)</f>
        <v>11.990068252905481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#NUM!</v>
      </c>
      <c r="T77" s="15" t="e">
        <f>GEOMEAN(T35:T50)</f>
        <v>#NUM!</v>
      </c>
      <c r="V77" s="38" t="e">
        <f>AVERAGE(V35:V50)</f>
        <v>#VALUE!</v>
      </c>
      <c r="W77" s="25" t="e">
        <f t="shared" ref="W77:AA77" si="19">AVERAGE(W35:W50)</f>
        <v>#VALUE!</v>
      </c>
      <c r="X77" s="25" t="e">
        <f t="shared" si="19"/>
        <v>#VALUE!</v>
      </c>
      <c r="Y77" s="38" t="e">
        <f t="shared" si="19"/>
        <v>#VALUE!</v>
      </c>
      <c r="Z77" s="25" t="e">
        <f t="shared" si="19"/>
        <v>#VALUE!</v>
      </c>
      <c r="AA77" s="50" t="e">
        <f t="shared" si="19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17.460702925411834</v>
      </c>
      <c r="J80" s="54">
        <f xml:space="preserve"> GEOMEAN(J3:J50)</f>
        <v>25.202473410865181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3">AVERAGE(W3:W50)</f>
        <v>#VALUE!</v>
      </c>
      <c r="X80" s="47" t="e">
        <f t="shared" si="23"/>
        <v>#VALUE!</v>
      </c>
      <c r="Y80" s="46" t="e">
        <f t="shared" si="23"/>
        <v>#VALUE!</v>
      </c>
      <c r="Z80" s="46" t="e">
        <f t="shared" si="23"/>
        <v>#VALUE!</v>
      </c>
      <c r="AA80" s="47" t="e">
        <f t="shared" si="23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I1" sqref="I1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77468.639999999999</v>
      </c>
      <c r="C1">
        <v>40.793700000000001</v>
      </c>
      <c r="D1">
        <v>49.146700000000003</v>
      </c>
      <c r="E1">
        <v>47.661900000000003</v>
      </c>
      <c r="F1">
        <v>92922.741999999998</v>
      </c>
      <c r="G1">
        <v>27.289000000000001</v>
      </c>
    </row>
    <row r="2" spans="1:7" x14ac:dyDescent="0.15">
      <c r="A2" s="141" t="s">
        <v>191</v>
      </c>
      <c r="B2">
        <v>41971.342700000001</v>
      </c>
      <c r="C2">
        <v>40.147100000000002</v>
      </c>
      <c r="D2">
        <v>48.341500000000003</v>
      </c>
      <c r="E2">
        <v>46.534700000000001</v>
      </c>
      <c r="F2">
        <v>50555.656000000003</v>
      </c>
      <c r="G2">
        <v>24.396999999999998</v>
      </c>
    </row>
    <row r="3" spans="1:7" x14ac:dyDescent="0.15">
      <c r="A3" s="141" t="s">
        <v>192</v>
      </c>
      <c r="B3">
        <v>25114.884300000002</v>
      </c>
      <c r="C3">
        <v>39.413200000000003</v>
      </c>
      <c r="D3">
        <v>47.335000000000001</v>
      </c>
      <c r="E3">
        <v>45.221299999999999</v>
      </c>
      <c r="F3">
        <v>29778.585999999999</v>
      </c>
      <c r="G3">
        <v>22.422999999999998</v>
      </c>
    </row>
    <row r="4" spans="1:7" x14ac:dyDescent="0.15">
      <c r="A4" s="141" t="s">
        <v>193</v>
      </c>
      <c r="B4">
        <v>14298.7978</v>
      </c>
      <c r="C4">
        <v>38.179000000000002</v>
      </c>
      <c r="D4">
        <v>45.811900000000001</v>
      </c>
      <c r="E4">
        <v>43.398099999999999</v>
      </c>
      <c r="F4">
        <v>16531.418000000001</v>
      </c>
      <c r="G4">
        <v>20.443000000000001</v>
      </c>
    </row>
    <row r="5" spans="1:7" x14ac:dyDescent="0.15">
      <c r="A5" s="141" t="s">
        <v>194</v>
      </c>
      <c r="B5">
        <v>328479.86320000002</v>
      </c>
      <c r="C5">
        <v>44.629600000000003</v>
      </c>
      <c r="D5">
        <v>38.904499999999999</v>
      </c>
      <c r="E5">
        <v>39.524799999999999</v>
      </c>
      <c r="F5">
        <v>143018.31200000001</v>
      </c>
      <c r="G5">
        <v>40.298999999999999</v>
      </c>
    </row>
    <row r="6" spans="1:7" x14ac:dyDescent="0.15">
      <c r="A6" s="141" t="s">
        <v>195</v>
      </c>
      <c r="B6">
        <v>209621.67370000001</v>
      </c>
      <c r="C6">
        <v>41.862200000000001</v>
      </c>
      <c r="D6">
        <v>36.310499999999998</v>
      </c>
      <c r="E6">
        <v>37.2151</v>
      </c>
      <c r="F6">
        <v>111816.133</v>
      </c>
      <c r="G6">
        <v>35.762</v>
      </c>
    </row>
    <row r="7" spans="1:7" x14ac:dyDescent="0.15">
      <c r="A7" s="141" t="s">
        <v>196</v>
      </c>
      <c r="B7">
        <v>119603.81050000001</v>
      </c>
      <c r="C7">
        <v>38.618099999999998</v>
      </c>
      <c r="D7">
        <v>33.999400000000001</v>
      </c>
      <c r="E7">
        <v>35.127699999999997</v>
      </c>
      <c r="F7">
        <v>82318.593999999997</v>
      </c>
      <c r="G7">
        <v>31.253</v>
      </c>
    </row>
    <row r="8" spans="1:7" x14ac:dyDescent="0.15">
      <c r="A8" s="141" t="s">
        <v>197</v>
      </c>
      <c r="B8">
        <v>56068.705300000001</v>
      </c>
      <c r="C8">
        <v>35.150100000000002</v>
      </c>
      <c r="D8">
        <v>31.624300000000002</v>
      </c>
      <c r="E8">
        <v>33.076599999999999</v>
      </c>
      <c r="F8">
        <v>53090.434000000001</v>
      </c>
      <c r="G8">
        <v>25.483000000000001</v>
      </c>
    </row>
    <row r="9" spans="1:7" x14ac:dyDescent="0.15">
      <c r="A9" s="141" t="s">
        <v>198</v>
      </c>
      <c r="B9">
        <v>125895.8842</v>
      </c>
      <c r="C9">
        <v>41.520800000000001</v>
      </c>
      <c r="D9">
        <v>43.853200000000001</v>
      </c>
      <c r="E9">
        <v>42.7712</v>
      </c>
      <c r="F9">
        <v>146157.609</v>
      </c>
      <c r="G9">
        <v>33.673999999999999</v>
      </c>
    </row>
    <row r="10" spans="1:7" x14ac:dyDescent="0.15">
      <c r="A10" s="141" t="s">
        <v>199</v>
      </c>
      <c r="B10">
        <v>56504.842100000002</v>
      </c>
      <c r="C10">
        <v>38.837299999999999</v>
      </c>
      <c r="D10">
        <v>41.228700000000003</v>
      </c>
      <c r="E10">
        <v>41.5717</v>
      </c>
      <c r="F10">
        <v>86702.891000000003</v>
      </c>
      <c r="G10">
        <v>26.335000000000001</v>
      </c>
    </row>
    <row r="11" spans="1:7" x14ac:dyDescent="0.15">
      <c r="A11" s="141" t="s">
        <v>200</v>
      </c>
      <c r="B11">
        <v>25653.599999999999</v>
      </c>
      <c r="C11">
        <v>37.276600000000002</v>
      </c>
      <c r="D11">
        <v>38.892200000000003</v>
      </c>
      <c r="E11">
        <v>40.398699999999998</v>
      </c>
      <c r="F11">
        <v>47213.351999999999</v>
      </c>
      <c r="G11">
        <v>22.13</v>
      </c>
    </row>
    <row r="12" spans="1:7" x14ac:dyDescent="0.15">
      <c r="A12" s="141" t="s">
        <v>201</v>
      </c>
      <c r="B12">
        <v>12373.2</v>
      </c>
      <c r="C12">
        <v>35.881599999999999</v>
      </c>
      <c r="D12">
        <v>36.166899999999998</v>
      </c>
      <c r="E12">
        <v>38.837000000000003</v>
      </c>
      <c r="F12">
        <v>25874.901999999998</v>
      </c>
      <c r="G12">
        <v>19.013999999999999</v>
      </c>
    </row>
    <row r="13" spans="1:7" x14ac:dyDescent="0.15">
      <c r="A13" s="141" t="s">
        <v>202</v>
      </c>
      <c r="B13">
        <v>179051.9621</v>
      </c>
      <c r="C13">
        <v>38.596600000000002</v>
      </c>
      <c r="D13">
        <v>45.4893</v>
      </c>
      <c r="E13">
        <v>43.287100000000002</v>
      </c>
      <c r="F13">
        <v>170877</v>
      </c>
      <c r="G13">
        <v>33.423999999999999</v>
      </c>
    </row>
    <row r="14" spans="1:7" x14ac:dyDescent="0.15">
      <c r="A14" s="141" t="s">
        <v>203</v>
      </c>
      <c r="B14">
        <v>87676.458899999998</v>
      </c>
      <c r="C14">
        <v>37.658799999999999</v>
      </c>
      <c r="D14">
        <v>44.514099999999999</v>
      </c>
      <c r="E14">
        <v>42.114100000000001</v>
      </c>
      <c r="F14">
        <v>95987.031000000003</v>
      </c>
      <c r="G14">
        <v>27.373999999999999</v>
      </c>
    </row>
    <row r="15" spans="1:7" x14ac:dyDescent="0.15">
      <c r="A15" s="141" t="s">
        <v>204</v>
      </c>
      <c r="B15">
        <v>50328.164199999999</v>
      </c>
      <c r="C15">
        <v>36.726300000000002</v>
      </c>
      <c r="D15">
        <v>43.419499999999999</v>
      </c>
      <c r="E15">
        <v>40.876399999999997</v>
      </c>
      <c r="F15">
        <v>57506.66</v>
      </c>
      <c r="G15">
        <v>24.382999999999999</v>
      </c>
    </row>
    <row r="16" spans="1:7" x14ac:dyDescent="0.15">
      <c r="A16" s="141" t="s">
        <v>205</v>
      </c>
      <c r="B16">
        <v>26478.4421</v>
      </c>
      <c r="C16">
        <v>35.212899999999998</v>
      </c>
      <c r="D16">
        <v>41.898099999999999</v>
      </c>
      <c r="E16">
        <v>39.448300000000003</v>
      </c>
      <c r="F16">
        <v>33296.769999999997</v>
      </c>
      <c r="G16">
        <v>20.475000000000001</v>
      </c>
    </row>
    <row r="17" spans="1:7" x14ac:dyDescent="0.15">
      <c r="A17" s="141" t="s">
        <v>94</v>
      </c>
      <c r="B17">
        <v>68369.041299999997</v>
      </c>
      <c r="C17">
        <v>39.539400000000001</v>
      </c>
      <c r="D17">
        <v>40.374000000000002</v>
      </c>
      <c r="E17">
        <v>43.317</v>
      </c>
      <c r="F17">
        <v>83359.835999999996</v>
      </c>
      <c r="G17">
        <v>17.007999999999999</v>
      </c>
    </row>
    <row r="18" spans="1:7" x14ac:dyDescent="0.15">
      <c r="A18" s="141" t="s">
        <v>95</v>
      </c>
      <c r="B18">
        <v>40843.371400000004</v>
      </c>
      <c r="C18">
        <v>37.8947</v>
      </c>
      <c r="D18">
        <v>39.331099999999999</v>
      </c>
      <c r="E18">
        <v>41.833599999999997</v>
      </c>
      <c r="F18">
        <v>56678.504000000001</v>
      </c>
      <c r="G18">
        <v>14.419</v>
      </c>
    </row>
    <row r="19" spans="1:7" x14ac:dyDescent="0.15">
      <c r="A19" s="141" t="s">
        <v>96</v>
      </c>
      <c r="B19">
        <v>23511.834900000002</v>
      </c>
      <c r="C19">
        <v>35.969099999999997</v>
      </c>
      <c r="D19">
        <v>38.389400000000002</v>
      </c>
      <c r="E19">
        <v>40.364100000000001</v>
      </c>
      <c r="F19">
        <v>37884.940999999999</v>
      </c>
      <c r="G19">
        <v>11.856999999999999</v>
      </c>
    </row>
    <row r="20" spans="1:7" x14ac:dyDescent="0.15">
      <c r="A20" s="141" t="s">
        <v>97</v>
      </c>
      <c r="B20">
        <v>11974.450800000001</v>
      </c>
      <c r="C20">
        <v>33.4908</v>
      </c>
      <c r="D20">
        <v>37.150300000000001</v>
      </c>
      <c r="E20">
        <v>38.6053</v>
      </c>
      <c r="F20">
        <v>23497.686000000002</v>
      </c>
      <c r="G20">
        <v>10.122</v>
      </c>
    </row>
    <row r="21" spans="1:7" x14ac:dyDescent="0.15">
      <c r="A21" s="141" t="s">
        <v>98</v>
      </c>
      <c r="B21">
        <v>43090.196799999998</v>
      </c>
      <c r="C21">
        <v>40.181399999999996</v>
      </c>
      <c r="D21">
        <v>44.090800000000002</v>
      </c>
      <c r="E21">
        <v>45.5242</v>
      </c>
      <c r="F21">
        <v>64073.004000000001</v>
      </c>
      <c r="G21">
        <v>14.250999999999999</v>
      </c>
    </row>
    <row r="22" spans="1:7" x14ac:dyDescent="0.15">
      <c r="A22" s="141" t="s">
        <v>99</v>
      </c>
      <c r="B22">
        <v>23502.431700000001</v>
      </c>
      <c r="C22">
        <v>38.7014</v>
      </c>
      <c r="D22">
        <v>43.055399999999999</v>
      </c>
      <c r="E22">
        <v>43.986600000000003</v>
      </c>
      <c r="F22">
        <v>41042.281000000003</v>
      </c>
      <c r="G22">
        <v>12.146000000000001</v>
      </c>
    </row>
    <row r="23" spans="1:7" x14ac:dyDescent="0.15">
      <c r="A23" s="141" t="s">
        <v>100</v>
      </c>
      <c r="B23">
        <v>13189.549199999999</v>
      </c>
      <c r="C23">
        <v>37.238399999999999</v>
      </c>
      <c r="D23">
        <v>41.873800000000003</v>
      </c>
      <c r="E23">
        <v>42.3474</v>
      </c>
      <c r="F23">
        <v>26096.761999999999</v>
      </c>
      <c r="G23">
        <v>10.609</v>
      </c>
    </row>
    <row r="24" spans="1:7" x14ac:dyDescent="0.15">
      <c r="A24" s="141" t="s">
        <v>101</v>
      </c>
      <c r="B24">
        <v>7026.9143000000004</v>
      </c>
      <c r="C24">
        <v>35.299399999999999</v>
      </c>
      <c r="D24">
        <v>40.309699999999999</v>
      </c>
      <c r="E24">
        <v>40.318399999999997</v>
      </c>
      <c r="F24">
        <v>15505.851000000001</v>
      </c>
      <c r="G24">
        <v>9.0679999999999996</v>
      </c>
    </row>
    <row r="25" spans="1:7" x14ac:dyDescent="0.15">
      <c r="A25" s="141" t="s">
        <v>206</v>
      </c>
      <c r="B25">
        <v>65257.612800000003</v>
      </c>
      <c r="C25">
        <v>41.673000000000002</v>
      </c>
      <c r="D25">
        <v>44.171900000000001</v>
      </c>
      <c r="E25">
        <v>44.927300000000002</v>
      </c>
      <c r="F25">
        <v>70861.133000000002</v>
      </c>
      <c r="G25">
        <v>18.178999999999998</v>
      </c>
    </row>
    <row r="26" spans="1:7" x14ac:dyDescent="0.15">
      <c r="A26" s="141" t="s">
        <v>207</v>
      </c>
      <c r="B26">
        <v>42040.8128</v>
      </c>
      <c r="C26">
        <v>39.875599999999999</v>
      </c>
      <c r="D26">
        <v>42.639299999999999</v>
      </c>
      <c r="E26">
        <v>43.592599999999997</v>
      </c>
      <c r="F26">
        <v>51488.417999999998</v>
      </c>
      <c r="G26">
        <v>16.204999999999998</v>
      </c>
    </row>
    <row r="27" spans="1:7" x14ac:dyDescent="0.15">
      <c r="A27" s="141" t="s">
        <v>208</v>
      </c>
      <c r="B27">
        <v>24667.903999999999</v>
      </c>
      <c r="C27">
        <v>37.6571</v>
      </c>
      <c r="D27">
        <v>41.237099999999998</v>
      </c>
      <c r="E27">
        <v>42.217799999999997</v>
      </c>
      <c r="F27">
        <v>35154.398000000001</v>
      </c>
      <c r="G27">
        <v>14.007</v>
      </c>
    </row>
    <row r="28" spans="1:7" x14ac:dyDescent="0.15">
      <c r="A28" s="141" t="s">
        <v>209</v>
      </c>
      <c r="B28">
        <v>12453.6512</v>
      </c>
      <c r="C28">
        <v>34.976399999999998</v>
      </c>
      <c r="D28">
        <v>39.641500000000001</v>
      </c>
      <c r="E28">
        <v>40.537700000000001</v>
      </c>
      <c r="F28">
        <v>21600.555</v>
      </c>
      <c r="G28">
        <v>11.617000000000001</v>
      </c>
    </row>
    <row r="29" spans="1:7" x14ac:dyDescent="0.15">
      <c r="A29" s="141" t="s">
        <v>210</v>
      </c>
      <c r="B29">
        <v>40027.372799999997</v>
      </c>
      <c r="C29">
        <v>44.843800000000002</v>
      </c>
      <c r="D29">
        <v>47.092399999999998</v>
      </c>
      <c r="E29">
        <v>48.039700000000003</v>
      </c>
      <c r="F29">
        <v>49613.711000000003</v>
      </c>
      <c r="G29">
        <v>16</v>
      </c>
    </row>
    <row r="30" spans="1:7" x14ac:dyDescent="0.15">
      <c r="A30" s="141" t="s">
        <v>211</v>
      </c>
      <c r="B30">
        <v>26381.472000000002</v>
      </c>
      <c r="C30">
        <v>42.694299999999998</v>
      </c>
      <c r="D30">
        <v>45.306800000000003</v>
      </c>
      <c r="E30">
        <v>46.142299999999999</v>
      </c>
      <c r="F30">
        <v>37658.133000000002</v>
      </c>
      <c r="G30">
        <v>14.061</v>
      </c>
    </row>
    <row r="31" spans="1:7" x14ac:dyDescent="0.15">
      <c r="A31" s="141" t="s">
        <v>212</v>
      </c>
      <c r="B31">
        <v>15608.352000000001</v>
      </c>
      <c r="C31">
        <v>40.018500000000003</v>
      </c>
      <c r="D31">
        <v>43.634599999999999</v>
      </c>
      <c r="E31">
        <v>44.293599999999998</v>
      </c>
      <c r="F31">
        <v>26406.724999999999</v>
      </c>
      <c r="G31">
        <v>12.959</v>
      </c>
    </row>
    <row r="32" spans="1:7" x14ac:dyDescent="0.15">
      <c r="A32" s="141" t="s">
        <v>213</v>
      </c>
      <c r="B32">
        <v>8135.2255999999998</v>
      </c>
      <c r="C32">
        <v>36.953899999999997</v>
      </c>
      <c r="D32">
        <v>41.725900000000003</v>
      </c>
      <c r="E32">
        <v>42.118899999999996</v>
      </c>
      <c r="F32">
        <v>16157.956</v>
      </c>
      <c r="G32">
        <v>10.617000000000001</v>
      </c>
    </row>
    <row r="33" spans="1:7" x14ac:dyDescent="0.15">
      <c r="A33" s="141" t="s">
        <v>102</v>
      </c>
      <c r="B33">
        <v>54273.5936</v>
      </c>
      <c r="C33">
        <v>41.693800000000003</v>
      </c>
      <c r="D33">
        <v>45.692700000000002</v>
      </c>
      <c r="E33">
        <v>46.061799999999998</v>
      </c>
      <c r="F33">
        <v>49090.078000000001</v>
      </c>
      <c r="G33">
        <v>10.384</v>
      </c>
    </row>
    <row r="34" spans="1:7" x14ac:dyDescent="0.15">
      <c r="A34" s="141" t="s">
        <v>103</v>
      </c>
      <c r="B34">
        <v>37083.865599999997</v>
      </c>
      <c r="C34">
        <v>38.755299999999998</v>
      </c>
      <c r="D34">
        <v>43.742400000000004</v>
      </c>
      <c r="E34">
        <v>44.160600000000002</v>
      </c>
      <c r="F34">
        <v>39979.891000000003</v>
      </c>
      <c r="G34">
        <v>9.0950000000000006</v>
      </c>
    </row>
    <row r="35" spans="1:7" x14ac:dyDescent="0.15">
      <c r="A35" s="141" t="s">
        <v>104</v>
      </c>
      <c r="B35">
        <v>22058.803199999998</v>
      </c>
      <c r="C35">
        <v>35.384</v>
      </c>
      <c r="D35">
        <v>42.087899999999998</v>
      </c>
      <c r="E35">
        <v>42.558199999999999</v>
      </c>
      <c r="F35">
        <v>29946.188999999998</v>
      </c>
      <c r="G35">
        <v>7.8120000000000003</v>
      </c>
    </row>
    <row r="36" spans="1:7" x14ac:dyDescent="0.15">
      <c r="A36" s="141" t="s">
        <v>105</v>
      </c>
      <c r="B36">
        <v>10882.169599999999</v>
      </c>
      <c r="C36">
        <v>31.7515</v>
      </c>
      <c r="D36">
        <v>40.492899999999999</v>
      </c>
      <c r="E36">
        <v>41.04</v>
      </c>
      <c r="F36">
        <v>19480.050999999999</v>
      </c>
      <c r="G36">
        <v>6.0810000000000004</v>
      </c>
    </row>
    <row r="37" spans="1:7" x14ac:dyDescent="0.15">
      <c r="A37" s="141" t="s">
        <v>106</v>
      </c>
      <c r="B37">
        <v>20431.2</v>
      </c>
      <c r="C37">
        <v>42.6599</v>
      </c>
      <c r="D37">
        <v>45.429200000000002</v>
      </c>
      <c r="E37">
        <v>46.8947</v>
      </c>
      <c r="F37">
        <v>27684.164000000001</v>
      </c>
      <c r="G37">
        <v>7.2779999999999996</v>
      </c>
    </row>
    <row r="38" spans="1:7" x14ac:dyDescent="0.15">
      <c r="A38" s="141" t="s">
        <v>107</v>
      </c>
      <c r="B38">
        <v>11647.091200000001</v>
      </c>
      <c r="C38">
        <v>40.648299999999999</v>
      </c>
      <c r="D38">
        <v>44.429099999999998</v>
      </c>
      <c r="E38">
        <v>45.200600000000001</v>
      </c>
      <c r="F38">
        <v>19184.436000000002</v>
      </c>
      <c r="G38">
        <v>6.2409999999999997</v>
      </c>
    </row>
    <row r="39" spans="1:7" x14ac:dyDescent="0.15">
      <c r="A39" s="141" t="s">
        <v>108</v>
      </c>
      <c r="B39">
        <v>6453.3631999999998</v>
      </c>
      <c r="C39">
        <v>38.639600000000002</v>
      </c>
      <c r="D39">
        <v>43.399000000000001</v>
      </c>
      <c r="E39">
        <v>43.420999999999999</v>
      </c>
      <c r="F39">
        <v>12223.739</v>
      </c>
      <c r="G39">
        <v>5.4740000000000002</v>
      </c>
    </row>
    <row r="40" spans="1:7" x14ac:dyDescent="0.15">
      <c r="A40" s="141" t="s">
        <v>109</v>
      </c>
      <c r="B40">
        <v>3285.9584</v>
      </c>
      <c r="C40">
        <v>36.257300000000001</v>
      </c>
      <c r="D40">
        <v>41.935099999999998</v>
      </c>
      <c r="E40">
        <v>41.254300000000001</v>
      </c>
      <c r="F40">
        <v>7131.4979999999996</v>
      </c>
      <c r="G40">
        <v>4.343</v>
      </c>
    </row>
    <row r="41" spans="1:7" x14ac:dyDescent="0.15">
      <c r="A41" s="141" t="s">
        <v>110</v>
      </c>
      <c r="B41">
        <v>15384.678400000001</v>
      </c>
      <c r="C41">
        <v>44.1691</v>
      </c>
      <c r="D41">
        <v>46.923400000000001</v>
      </c>
      <c r="E41">
        <v>47.805500000000002</v>
      </c>
      <c r="F41">
        <v>22052.276999999998</v>
      </c>
      <c r="G41">
        <v>6.6680000000000001</v>
      </c>
    </row>
    <row r="42" spans="1:7" x14ac:dyDescent="0.15">
      <c r="A42" s="141" t="s">
        <v>111</v>
      </c>
      <c r="B42">
        <v>10416.4928</v>
      </c>
      <c r="C42">
        <v>42.432400000000001</v>
      </c>
      <c r="D42">
        <v>45.685200000000002</v>
      </c>
      <c r="E42">
        <v>46.345999999999997</v>
      </c>
      <c r="F42">
        <v>16421.932000000001</v>
      </c>
      <c r="G42">
        <v>6.1310000000000002</v>
      </c>
    </row>
    <row r="43" spans="1:7" x14ac:dyDescent="0.15">
      <c r="A43" s="141" t="s">
        <v>112</v>
      </c>
      <c r="B43">
        <v>6575.7951999999996</v>
      </c>
      <c r="C43">
        <v>40.086199999999998</v>
      </c>
      <c r="D43">
        <v>44.280299999999997</v>
      </c>
      <c r="E43">
        <v>44.752099999999999</v>
      </c>
      <c r="F43">
        <v>11548.303</v>
      </c>
      <c r="G43">
        <v>5.492</v>
      </c>
    </row>
    <row r="44" spans="1:7" x14ac:dyDescent="0.15">
      <c r="A44" s="141" t="s">
        <v>113</v>
      </c>
      <c r="B44">
        <v>3802.5472</v>
      </c>
      <c r="C44">
        <v>37.0837</v>
      </c>
      <c r="D44">
        <v>42.4482</v>
      </c>
      <c r="E44">
        <v>42.819299999999998</v>
      </c>
      <c r="F44">
        <v>7498.2139999999999</v>
      </c>
      <c r="G44">
        <v>4.609</v>
      </c>
    </row>
    <row r="45" spans="1:7" x14ac:dyDescent="0.15">
      <c r="A45" s="141" t="s">
        <v>114</v>
      </c>
      <c r="B45">
        <v>16595.833600000002</v>
      </c>
      <c r="C45">
        <v>44.115699999999997</v>
      </c>
      <c r="D45">
        <v>48.428199999999997</v>
      </c>
      <c r="E45">
        <v>48.146299999999997</v>
      </c>
      <c r="F45">
        <v>21805.761999999999</v>
      </c>
      <c r="G45">
        <v>6.5060000000000002</v>
      </c>
    </row>
    <row r="46" spans="1:7" x14ac:dyDescent="0.15">
      <c r="A46" s="141" t="s">
        <v>115</v>
      </c>
      <c r="B46">
        <v>11519.3472</v>
      </c>
      <c r="C46">
        <v>42.369199999999999</v>
      </c>
      <c r="D46">
        <v>47.291600000000003</v>
      </c>
      <c r="E46">
        <v>46.506599999999999</v>
      </c>
      <c r="F46">
        <v>16764.907999999999</v>
      </c>
      <c r="G46">
        <v>5.944</v>
      </c>
    </row>
    <row r="47" spans="1:7" x14ac:dyDescent="0.15">
      <c r="A47" s="141" t="s">
        <v>116</v>
      </c>
      <c r="B47">
        <v>7478.5536000000002</v>
      </c>
      <c r="C47">
        <v>39.9756</v>
      </c>
      <c r="D47">
        <v>46.081200000000003</v>
      </c>
      <c r="E47">
        <v>44.655299999999997</v>
      </c>
      <c r="F47">
        <v>12189.691999999999</v>
      </c>
      <c r="G47">
        <v>5.3280000000000003</v>
      </c>
    </row>
    <row r="48" spans="1:7" x14ac:dyDescent="0.15">
      <c r="A48" s="141" t="s">
        <v>117</v>
      </c>
      <c r="B48">
        <v>4343.1040000000003</v>
      </c>
      <c r="C48">
        <v>36.741199999999999</v>
      </c>
      <c r="D48">
        <v>44.346800000000002</v>
      </c>
      <c r="E48">
        <v>42.308</v>
      </c>
      <c r="F48">
        <v>8141.2560000000003</v>
      </c>
      <c r="G48">
        <v>4.476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14891.128000000001</v>
      </c>
      <c r="C73">
        <v>40.069800000000001</v>
      </c>
      <c r="D73">
        <v>48.914499999999997</v>
      </c>
      <c r="E73">
        <v>46.920699999999997</v>
      </c>
      <c r="F73">
        <v>324658.359</v>
      </c>
      <c r="G73">
        <v>84.132000000000005</v>
      </c>
    </row>
    <row r="74" spans="1:7" x14ac:dyDescent="0.15">
      <c r="A74" s="141" t="s">
        <v>223</v>
      </c>
      <c r="B74">
        <v>6935.82</v>
      </c>
      <c r="C74">
        <v>39.563600000000001</v>
      </c>
      <c r="D74">
        <v>48.291400000000003</v>
      </c>
      <c r="E74">
        <v>46.028500000000001</v>
      </c>
      <c r="F74">
        <v>165191.65400000001</v>
      </c>
      <c r="G74">
        <v>56.62</v>
      </c>
    </row>
    <row r="75" spans="1:7" x14ac:dyDescent="0.15">
      <c r="A75" s="141" t="s">
        <v>224</v>
      </c>
      <c r="B75">
        <v>3756.096</v>
      </c>
      <c r="C75">
        <v>38.690600000000003</v>
      </c>
      <c r="D75">
        <v>47.250799999999998</v>
      </c>
      <c r="E75">
        <v>44.688899999999997</v>
      </c>
      <c r="F75">
        <v>86068.952999999994</v>
      </c>
      <c r="G75">
        <v>52.223999999999997</v>
      </c>
    </row>
    <row r="76" spans="1:7" x14ac:dyDescent="0.15">
      <c r="A76" s="141" t="s">
        <v>225</v>
      </c>
      <c r="B76">
        <v>1985.8119999999999</v>
      </c>
      <c r="C76">
        <v>37.146999999999998</v>
      </c>
      <c r="D76">
        <v>45.9664</v>
      </c>
      <c r="E76">
        <v>43.009500000000003</v>
      </c>
      <c r="F76">
        <v>47341.906999999999</v>
      </c>
      <c r="G76">
        <v>51.095999999999997</v>
      </c>
    </row>
    <row r="77" spans="1:7" x14ac:dyDescent="0.15">
      <c r="A77" s="141" t="s">
        <v>226</v>
      </c>
      <c r="B77">
        <v>78314.788</v>
      </c>
      <c r="C77">
        <v>41.558999999999997</v>
      </c>
      <c r="D77">
        <v>36.299599999999998</v>
      </c>
      <c r="E77">
        <v>37.386800000000001</v>
      </c>
      <c r="F77">
        <v>647678.43200000003</v>
      </c>
      <c r="G77">
        <v>73.802000000000007</v>
      </c>
    </row>
    <row r="78" spans="1:7" x14ac:dyDescent="0.15">
      <c r="A78" s="141" t="s">
        <v>227</v>
      </c>
      <c r="B78">
        <v>40567.843999999997</v>
      </c>
      <c r="C78">
        <v>38.953299999999999</v>
      </c>
      <c r="D78">
        <v>34.334600000000002</v>
      </c>
      <c r="E78">
        <v>35.6539</v>
      </c>
      <c r="F78">
        <v>416762.49300000002</v>
      </c>
      <c r="G78">
        <v>78.808000000000007</v>
      </c>
    </row>
    <row r="79" spans="1:7" x14ac:dyDescent="0.15">
      <c r="A79" s="141" t="s">
        <v>228</v>
      </c>
      <c r="B79">
        <v>19107.707999999999</v>
      </c>
      <c r="C79">
        <v>36.0486</v>
      </c>
      <c r="D79">
        <v>32.5901</v>
      </c>
      <c r="E79">
        <v>34.103000000000002</v>
      </c>
      <c r="F79">
        <v>231977.75399999999</v>
      </c>
      <c r="G79">
        <v>55.956000000000003</v>
      </c>
    </row>
    <row r="80" spans="1:7" x14ac:dyDescent="0.15">
      <c r="A80" s="141" t="s">
        <v>229</v>
      </c>
      <c r="B80">
        <v>7850.9080000000004</v>
      </c>
      <c r="C80">
        <v>32.9739</v>
      </c>
      <c r="D80">
        <v>30.976800000000001</v>
      </c>
      <c r="E80">
        <v>32.712400000000002</v>
      </c>
      <c r="F80">
        <v>129863.82399999999</v>
      </c>
      <c r="G80">
        <v>51.564</v>
      </c>
    </row>
    <row r="81" spans="1:7" x14ac:dyDescent="0.15">
      <c r="A81" s="141" t="s">
        <v>230</v>
      </c>
      <c r="B81">
        <v>39344.296000000002</v>
      </c>
      <c r="C81">
        <v>38.297800000000002</v>
      </c>
      <c r="D81">
        <v>40.323700000000002</v>
      </c>
      <c r="E81">
        <v>41.319000000000003</v>
      </c>
      <c r="F81">
        <v>362270.348</v>
      </c>
      <c r="G81">
        <v>50.206000000000003</v>
      </c>
    </row>
    <row r="82" spans="1:7" x14ac:dyDescent="0.15">
      <c r="A82" s="141" t="s">
        <v>231</v>
      </c>
      <c r="B82">
        <v>19082.804</v>
      </c>
      <c r="C82">
        <v>37.168199999999999</v>
      </c>
      <c r="D82">
        <v>37.806600000000003</v>
      </c>
      <c r="E82">
        <v>39.996299999999998</v>
      </c>
      <c r="F82">
        <v>200410.31099999999</v>
      </c>
      <c r="G82">
        <v>33.661000000000001</v>
      </c>
    </row>
    <row r="83" spans="1:7" x14ac:dyDescent="0.15">
      <c r="A83" s="141" t="s">
        <v>232</v>
      </c>
      <c r="B83">
        <v>9417.2119999999995</v>
      </c>
      <c r="C83">
        <v>35.775300000000001</v>
      </c>
      <c r="D83">
        <v>35.6111</v>
      </c>
      <c r="E83">
        <v>38.657299999999999</v>
      </c>
      <c r="F83">
        <v>116392.277</v>
      </c>
      <c r="G83">
        <v>29.315000000000001</v>
      </c>
    </row>
    <row r="84" spans="1:7" x14ac:dyDescent="0.15">
      <c r="A84" s="141" t="s">
        <v>233</v>
      </c>
      <c r="B84">
        <v>4769.5159999999996</v>
      </c>
      <c r="C84">
        <v>33.930199999999999</v>
      </c>
      <c r="D84">
        <v>33.7361</v>
      </c>
      <c r="E84">
        <v>37.198700000000002</v>
      </c>
      <c r="F84">
        <v>71752.096000000005</v>
      </c>
      <c r="G84">
        <v>25.934000000000001</v>
      </c>
    </row>
    <row r="85" spans="1:7" x14ac:dyDescent="0.15">
      <c r="A85" s="141" t="s">
        <v>234</v>
      </c>
      <c r="B85">
        <v>25723.46</v>
      </c>
      <c r="C85">
        <v>37.6023</v>
      </c>
      <c r="D85">
        <v>45.135100000000001</v>
      </c>
      <c r="E85">
        <v>42.770200000000003</v>
      </c>
      <c r="F85">
        <v>513488.49</v>
      </c>
      <c r="G85">
        <v>66.88</v>
      </c>
    </row>
    <row r="86" spans="1:7" x14ac:dyDescent="0.15">
      <c r="A86" s="141" t="s">
        <v>235</v>
      </c>
      <c r="B86">
        <v>9308.5519999999997</v>
      </c>
      <c r="C86">
        <v>37.032400000000003</v>
      </c>
      <c r="D86">
        <v>44.515999999999998</v>
      </c>
      <c r="E86">
        <v>42.084099999999999</v>
      </c>
      <c r="F86">
        <v>234792.58799999999</v>
      </c>
      <c r="G86">
        <v>56.377000000000002</v>
      </c>
    </row>
    <row r="87" spans="1:7" x14ac:dyDescent="0.15">
      <c r="A87" s="141" t="s">
        <v>236</v>
      </c>
      <c r="B87">
        <v>4592.1440000000002</v>
      </c>
      <c r="C87">
        <v>36.162999999999997</v>
      </c>
      <c r="D87">
        <v>43.590499999999999</v>
      </c>
      <c r="E87">
        <v>41.0931</v>
      </c>
      <c r="F87">
        <v>115779.193</v>
      </c>
      <c r="G87">
        <v>45.216000000000001</v>
      </c>
    </row>
    <row r="88" spans="1:7" x14ac:dyDescent="0.15">
      <c r="A88" s="141" t="s">
        <v>237</v>
      </c>
      <c r="B88">
        <v>2227.0039999999999</v>
      </c>
      <c r="C88">
        <v>34.677500000000002</v>
      </c>
      <c r="D88">
        <v>42.279200000000003</v>
      </c>
      <c r="E88">
        <v>39.825499999999998</v>
      </c>
      <c r="F88">
        <v>58463.069000000003</v>
      </c>
      <c r="G88">
        <v>39.610999999999997</v>
      </c>
    </row>
    <row r="89" spans="1:7" x14ac:dyDescent="0.15">
      <c r="A89" s="141" t="s">
        <v>118</v>
      </c>
      <c r="B89">
        <v>10121.992</v>
      </c>
      <c r="C89">
        <v>37.966999999999999</v>
      </c>
      <c r="D89">
        <v>39.735999999999997</v>
      </c>
      <c r="E89">
        <v>43.0854</v>
      </c>
      <c r="F89">
        <v>107102.598</v>
      </c>
      <c r="G89">
        <v>14.057</v>
      </c>
    </row>
    <row r="90" spans="1:7" x14ac:dyDescent="0.15">
      <c r="A90" s="141" t="s">
        <v>119</v>
      </c>
      <c r="B90">
        <v>4756.3879999999999</v>
      </c>
      <c r="C90">
        <v>36.863300000000002</v>
      </c>
      <c r="D90">
        <v>39.1873</v>
      </c>
      <c r="E90">
        <v>41.976399999999998</v>
      </c>
      <c r="F90">
        <v>58604.949000000001</v>
      </c>
      <c r="G90">
        <v>11.212999999999999</v>
      </c>
    </row>
    <row r="91" spans="1:7" x14ac:dyDescent="0.15">
      <c r="A91" s="141" t="s">
        <v>120</v>
      </c>
      <c r="B91">
        <v>2411.4279999999999</v>
      </c>
      <c r="C91">
        <v>35.267699999999998</v>
      </c>
      <c r="D91">
        <v>38.464399999999998</v>
      </c>
      <c r="E91">
        <v>40.590000000000003</v>
      </c>
      <c r="F91">
        <v>33425.214999999997</v>
      </c>
      <c r="G91">
        <v>9.8360000000000003</v>
      </c>
    </row>
    <row r="92" spans="1:7" x14ac:dyDescent="0.15">
      <c r="A92" s="141" t="s">
        <v>121</v>
      </c>
      <c r="B92">
        <v>1131.104</v>
      </c>
      <c r="C92">
        <v>33.015700000000002</v>
      </c>
      <c r="D92">
        <v>37.372999999999998</v>
      </c>
      <c r="E92">
        <v>38.872100000000003</v>
      </c>
      <c r="F92">
        <v>17948.413</v>
      </c>
      <c r="G92">
        <v>8.7330000000000005</v>
      </c>
    </row>
    <row r="93" spans="1:7" x14ac:dyDescent="0.15">
      <c r="A93" s="141" t="s">
        <v>122</v>
      </c>
      <c r="B93">
        <v>8878.0360000000001</v>
      </c>
      <c r="C93">
        <v>38.895800000000001</v>
      </c>
      <c r="D93">
        <v>43.937199999999997</v>
      </c>
      <c r="E93">
        <v>45.041400000000003</v>
      </c>
      <c r="F93">
        <v>106255.061</v>
      </c>
      <c r="G93">
        <v>15.371</v>
      </c>
    </row>
    <row r="94" spans="1:7" x14ac:dyDescent="0.15">
      <c r="A94" s="141" t="s">
        <v>123</v>
      </c>
      <c r="B94">
        <v>4425.6120000000001</v>
      </c>
      <c r="C94">
        <v>37.839599999999997</v>
      </c>
      <c r="D94">
        <v>43.091799999999999</v>
      </c>
      <c r="E94">
        <v>43.599499999999999</v>
      </c>
      <c r="F94">
        <v>62392.987999999998</v>
      </c>
      <c r="G94">
        <v>13.189</v>
      </c>
    </row>
    <row r="95" spans="1:7" x14ac:dyDescent="0.15">
      <c r="A95" s="141" t="s">
        <v>124</v>
      </c>
      <c r="B95">
        <v>2252.9679999999998</v>
      </c>
      <c r="C95">
        <v>36.328499999999998</v>
      </c>
      <c r="D95">
        <v>41.9848</v>
      </c>
      <c r="E95">
        <v>41.924700000000001</v>
      </c>
      <c r="F95">
        <v>34695.017</v>
      </c>
      <c r="G95">
        <v>11.497999999999999</v>
      </c>
    </row>
    <row r="96" spans="1:7" x14ac:dyDescent="0.15">
      <c r="A96" s="141" t="s">
        <v>125</v>
      </c>
      <c r="B96">
        <v>1110.5239999999999</v>
      </c>
      <c r="C96">
        <v>34.250100000000003</v>
      </c>
      <c r="D96">
        <v>40.631100000000004</v>
      </c>
      <c r="E96">
        <v>40.075099999999999</v>
      </c>
      <c r="F96">
        <v>18468.429</v>
      </c>
      <c r="G96">
        <v>9.2609999999999992</v>
      </c>
    </row>
    <row r="97" spans="1:7" x14ac:dyDescent="0.15">
      <c r="A97" s="141" t="s">
        <v>238</v>
      </c>
      <c r="B97">
        <v>6957.2039999999997</v>
      </c>
      <c r="C97">
        <v>39.639299999999999</v>
      </c>
      <c r="D97">
        <v>43.657699999999998</v>
      </c>
      <c r="E97">
        <v>44.8583</v>
      </c>
      <c r="F97">
        <v>95487.543000000005</v>
      </c>
      <c r="G97">
        <v>15.986000000000001</v>
      </c>
    </row>
    <row r="98" spans="1:7" x14ac:dyDescent="0.15">
      <c r="A98" s="141" t="s">
        <v>239</v>
      </c>
      <c r="B98">
        <v>3261.6840000000002</v>
      </c>
      <c r="C98">
        <v>38.438400000000001</v>
      </c>
      <c r="D98">
        <v>42.892600000000002</v>
      </c>
      <c r="E98">
        <v>44.179499999999997</v>
      </c>
      <c r="F98">
        <v>53610.455999999998</v>
      </c>
      <c r="G98">
        <v>13.872999999999999</v>
      </c>
    </row>
    <row r="99" spans="1:7" x14ac:dyDescent="0.15">
      <c r="A99" s="141" t="s">
        <v>240</v>
      </c>
      <c r="B99">
        <v>1553.9760000000001</v>
      </c>
      <c r="C99">
        <v>36.733800000000002</v>
      </c>
      <c r="D99">
        <v>41.861899999999999</v>
      </c>
      <c r="E99">
        <v>43.180300000000003</v>
      </c>
      <c r="F99">
        <v>28577.054</v>
      </c>
      <c r="G99">
        <v>12.423999999999999</v>
      </c>
    </row>
    <row r="100" spans="1:7" x14ac:dyDescent="0.15">
      <c r="A100" s="141" t="s">
        <v>241</v>
      </c>
      <c r="B100">
        <v>696.34400000000005</v>
      </c>
      <c r="C100">
        <v>34.488399999999999</v>
      </c>
      <c r="D100">
        <v>40.581499999999998</v>
      </c>
      <c r="E100">
        <v>41.794600000000003</v>
      </c>
      <c r="F100">
        <v>14670.535</v>
      </c>
      <c r="G100">
        <v>10.013999999999999</v>
      </c>
    </row>
    <row r="101" spans="1:7" x14ac:dyDescent="0.15">
      <c r="A101" s="141" t="s">
        <v>242</v>
      </c>
      <c r="B101">
        <v>5839.6840000000002</v>
      </c>
      <c r="C101">
        <v>44.793500000000002</v>
      </c>
      <c r="D101">
        <v>47.185099999999998</v>
      </c>
      <c r="E101">
        <v>48.126800000000003</v>
      </c>
      <c r="F101">
        <v>71479.941999999995</v>
      </c>
      <c r="G101">
        <v>15.644</v>
      </c>
    </row>
    <row r="102" spans="1:7" x14ac:dyDescent="0.15">
      <c r="A102" s="141" t="s">
        <v>243</v>
      </c>
      <c r="B102">
        <v>3569.0920000000001</v>
      </c>
      <c r="C102">
        <v>42.528599999999997</v>
      </c>
      <c r="D102">
        <v>45.587400000000002</v>
      </c>
      <c r="E102">
        <v>46.361699999999999</v>
      </c>
      <c r="F102">
        <v>49601.017</v>
      </c>
      <c r="G102">
        <v>14.037000000000001</v>
      </c>
    </row>
    <row r="103" spans="1:7" x14ac:dyDescent="0.15">
      <c r="A103" s="141" t="s">
        <v>244</v>
      </c>
      <c r="B103">
        <v>1977.576</v>
      </c>
      <c r="C103">
        <v>39.697800000000001</v>
      </c>
      <c r="D103">
        <v>43.926600000000001</v>
      </c>
      <c r="E103">
        <v>44.394199999999998</v>
      </c>
      <c r="F103">
        <v>30914.092000000001</v>
      </c>
      <c r="G103">
        <v>12.159000000000001</v>
      </c>
    </row>
    <row r="104" spans="1:7" x14ac:dyDescent="0.15">
      <c r="A104" s="141" t="s">
        <v>245</v>
      </c>
      <c r="B104">
        <v>1001.704</v>
      </c>
      <c r="C104">
        <v>36.498699999999999</v>
      </c>
      <c r="D104">
        <v>42.246699999999997</v>
      </c>
      <c r="E104">
        <v>42.469499999999996</v>
      </c>
      <c r="F104">
        <v>17377.695</v>
      </c>
      <c r="G104">
        <v>9.9390000000000001</v>
      </c>
    </row>
    <row r="105" spans="1:7" x14ac:dyDescent="0.15">
      <c r="A105" s="141" t="s">
        <v>126</v>
      </c>
      <c r="B105">
        <v>4242.0479999999998</v>
      </c>
      <c r="C105">
        <v>38.523400000000002</v>
      </c>
      <c r="D105">
        <v>45.802700000000002</v>
      </c>
      <c r="E105">
        <v>46.016500000000001</v>
      </c>
      <c r="F105">
        <v>46358.197</v>
      </c>
      <c r="G105">
        <v>6.7830000000000004</v>
      </c>
    </row>
    <row r="106" spans="1:7" x14ac:dyDescent="0.15">
      <c r="A106" s="141" t="s">
        <v>127</v>
      </c>
      <c r="B106">
        <v>1791.652</v>
      </c>
      <c r="C106">
        <v>36.910499999999999</v>
      </c>
      <c r="D106">
        <v>44.616799999999998</v>
      </c>
      <c r="E106">
        <v>44.8247</v>
      </c>
      <c r="F106">
        <v>23838.030999999999</v>
      </c>
      <c r="G106">
        <v>5.3890000000000002</v>
      </c>
    </row>
    <row r="107" spans="1:7" x14ac:dyDescent="0.15">
      <c r="A107" s="141" t="s">
        <v>128</v>
      </c>
      <c r="B107">
        <v>818.88400000000001</v>
      </c>
      <c r="C107">
        <v>34.913800000000002</v>
      </c>
      <c r="D107">
        <v>43.143500000000003</v>
      </c>
      <c r="E107">
        <v>43.404000000000003</v>
      </c>
      <c r="F107">
        <v>12545.754000000001</v>
      </c>
      <c r="G107">
        <v>4.3979999999999997</v>
      </c>
    </row>
    <row r="108" spans="1:7" x14ac:dyDescent="0.15">
      <c r="A108" s="141" t="s">
        <v>129</v>
      </c>
      <c r="B108">
        <v>393.8</v>
      </c>
      <c r="C108">
        <v>32.2988</v>
      </c>
      <c r="D108">
        <v>41.161999999999999</v>
      </c>
      <c r="E108">
        <v>41.6995</v>
      </c>
      <c r="F108">
        <v>6550.2060000000001</v>
      </c>
      <c r="G108">
        <v>3.7250000000000001</v>
      </c>
    </row>
    <row r="109" spans="1:7" x14ac:dyDescent="0.15">
      <c r="A109" s="141" t="s">
        <v>130</v>
      </c>
      <c r="B109">
        <v>2508.0839999999998</v>
      </c>
      <c r="C109">
        <v>40.579599999999999</v>
      </c>
      <c r="D109">
        <v>46.006</v>
      </c>
      <c r="E109">
        <v>47.132300000000001</v>
      </c>
      <c r="F109">
        <v>36315.294000000002</v>
      </c>
      <c r="G109">
        <v>6.8970000000000002</v>
      </c>
    </row>
    <row r="110" spans="1:7" x14ac:dyDescent="0.15">
      <c r="A110" s="141" t="s">
        <v>131</v>
      </c>
      <c r="B110">
        <v>1146.972</v>
      </c>
      <c r="C110">
        <v>39.460500000000003</v>
      </c>
      <c r="D110">
        <v>45.4131</v>
      </c>
      <c r="E110">
        <v>45.898699999999998</v>
      </c>
      <c r="F110">
        <v>19055.058000000001</v>
      </c>
      <c r="G110">
        <v>5.3849999999999998</v>
      </c>
    </row>
    <row r="111" spans="1:7" x14ac:dyDescent="0.15">
      <c r="A111" s="141" t="s">
        <v>132</v>
      </c>
      <c r="B111">
        <v>537.67600000000004</v>
      </c>
      <c r="C111">
        <v>37.884500000000003</v>
      </c>
      <c r="D111">
        <v>44.5306</v>
      </c>
      <c r="E111">
        <v>44.255299999999998</v>
      </c>
      <c r="F111">
        <v>10053.841</v>
      </c>
      <c r="G111">
        <v>4.7560000000000002</v>
      </c>
    </row>
    <row r="112" spans="1:7" x14ac:dyDescent="0.15">
      <c r="A112" s="141" t="s">
        <v>133</v>
      </c>
      <c r="B112">
        <v>243.83199999999999</v>
      </c>
      <c r="C112">
        <v>35.7866</v>
      </c>
      <c r="D112">
        <v>43.314599999999999</v>
      </c>
      <c r="E112">
        <v>42.307899999999997</v>
      </c>
      <c r="F112">
        <v>5067.2879999999996</v>
      </c>
      <c r="G112">
        <v>4.1120000000000001</v>
      </c>
    </row>
    <row r="113" spans="1:7" x14ac:dyDescent="0.15">
      <c r="A113" s="141" t="s">
        <v>134</v>
      </c>
      <c r="B113">
        <v>960.44399999999996</v>
      </c>
      <c r="C113">
        <v>43.460500000000003</v>
      </c>
      <c r="D113">
        <v>47.098799999999997</v>
      </c>
      <c r="E113">
        <v>48.137599999999999</v>
      </c>
      <c r="F113">
        <v>15121.088</v>
      </c>
      <c r="G113">
        <v>4.2249999999999996</v>
      </c>
    </row>
    <row r="114" spans="1:7" x14ac:dyDescent="0.15">
      <c r="A114" s="141" t="s">
        <v>135</v>
      </c>
      <c r="B114">
        <v>522.85599999999999</v>
      </c>
      <c r="C114">
        <v>42.170900000000003</v>
      </c>
      <c r="D114">
        <v>46.301900000000003</v>
      </c>
      <c r="E114">
        <v>47.063000000000002</v>
      </c>
      <c r="F114">
        <v>8687.2919999999995</v>
      </c>
      <c r="G114">
        <v>4.1500000000000004</v>
      </c>
    </row>
    <row r="115" spans="1:7" x14ac:dyDescent="0.15">
      <c r="A115" s="141" t="s">
        <v>136</v>
      </c>
      <c r="B115">
        <v>298.94</v>
      </c>
      <c r="C115">
        <v>40.383499999999998</v>
      </c>
      <c r="D115">
        <v>45.235399999999998</v>
      </c>
      <c r="E115">
        <v>45.698099999999997</v>
      </c>
      <c r="F115">
        <v>4934.6679999999997</v>
      </c>
      <c r="G115">
        <v>3.9249999999999998</v>
      </c>
    </row>
    <row r="116" spans="1:7" x14ac:dyDescent="0.15">
      <c r="A116" s="141" t="s">
        <v>137</v>
      </c>
      <c r="B116">
        <v>166.428</v>
      </c>
      <c r="C116">
        <v>37.795200000000001</v>
      </c>
      <c r="D116">
        <v>43.372300000000003</v>
      </c>
      <c r="E116">
        <v>43.820900000000002</v>
      </c>
      <c r="F116">
        <v>2861.3040000000001</v>
      </c>
      <c r="G116">
        <v>3.9420000000000002</v>
      </c>
    </row>
    <row r="117" spans="1:7" x14ac:dyDescent="0.15">
      <c r="A117" s="141" t="s">
        <v>138</v>
      </c>
      <c r="B117">
        <v>1362.1</v>
      </c>
      <c r="C117">
        <v>42.826799999999999</v>
      </c>
      <c r="D117">
        <v>48.663699999999999</v>
      </c>
      <c r="E117">
        <v>48.420299999999997</v>
      </c>
      <c r="F117">
        <v>17654.78</v>
      </c>
      <c r="G117">
        <v>4.4480000000000004</v>
      </c>
    </row>
    <row r="118" spans="1:7" x14ac:dyDescent="0.15">
      <c r="A118" s="141" t="s">
        <v>139</v>
      </c>
      <c r="B118">
        <v>735.25199999999995</v>
      </c>
      <c r="C118">
        <v>41.530200000000001</v>
      </c>
      <c r="D118">
        <v>47.787999999999997</v>
      </c>
      <c r="E118">
        <v>47.299700000000001</v>
      </c>
      <c r="F118">
        <v>10239.605</v>
      </c>
      <c r="G118">
        <v>4.0659999999999998</v>
      </c>
    </row>
    <row r="119" spans="1:7" x14ac:dyDescent="0.15">
      <c r="A119" s="141" t="s">
        <v>140</v>
      </c>
      <c r="B119">
        <v>413.27600000000001</v>
      </c>
      <c r="C119">
        <v>39.651000000000003</v>
      </c>
      <c r="D119">
        <v>46.735300000000002</v>
      </c>
      <c r="E119">
        <v>45.680700000000002</v>
      </c>
      <c r="F119">
        <v>5962.8140000000003</v>
      </c>
      <c r="G119">
        <v>3.9550000000000001</v>
      </c>
    </row>
    <row r="120" spans="1:7" x14ac:dyDescent="0.15">
      <c r="A120" s="141" t="s">
        <v>141</v>
      </c>
      <c r="B120">
        <v>225.11199999999999</v>
      </c>
      <c r="C120">
        <v>36.888300000000001</v>
      </c>
      <c r="D120">
        <v>45.084400000000002</v>
      </c>
      <c r="E120">
        <v>43.148099999999999</v>
      </c>
      <c r="F120">
        <v>3490.2179999999998</v>
      </c>
      <c r="G120">
        <v>3.859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17145.407999999999</v>
      </c>
      <c r="C145">
        <v>40.146700000000003</v>
      </c>
      <c r="D145">
        <v>48.568100000000001</v>
      </c>
      <c r="E145">
        <v>46.410699999999999</v>
      </c>
      <c r="F145">
        <v>210945.25</v>
      </c>
      <c r="G145">
        <v>31.154</v>
      </c>
    </row>
    <row r="146" spans="1:7" x14ac:dyDescent="0.15">
      <c r="A146" s="141" t="s">
        <v>255</v>
      </c>
      <c r="B146">
        <v>8673</v>
      </c>
      <c r="C146">
        <v>39.528100000000002</v>
      </c>
      <c r="D146">
        <v>47.682400000000001</v>
      </c>
      <c r="E146">
        <v>45.258899999999997</v>
      </c>
      <c r="F146">
        <v>114284.55499999999</v>
      </c>
      <c r="G146">
        <v>27.346</v>
      </c>
    </row>
    <row r="147" spans="1:7" x14ac:dyDescent="0.15">
      <c r="A147" s="141" t="s">
        <v>256</v>
      </c>
      <c r="B147">
        <v>4732.2640000000001</v>
      </c>
      <c r="C147">
        <v>38.5107</v>
      </c>
      <c r="D147">
        <v>46.541899999999998</v>
      </c>
      <c r="E147">
        <v>43.860199999999999</v>
      </c>
      <c r="F147">
        <v>61948.383000000002</v>
      </c>
      <c r="G147">
        <v>23.039000000000001</v>
      </c>
    </row>
    <row r="148" spans="1:7" x14ac:dyDescent="0.15">
      <c r="A148" s="141" t="s">
        <v>257</v>
      </c>
      <c r="B148">
        <v>2586.48</v>
      </c>
      <c r="C148">
        <v>36.9161</v>
      </c>
      <c r="D148">
        <v>45.113100000000003</v>
      </c>
      <c r="E148">
        <v>42.2393</v>
      </c>
      <c r="F148">
        <v>34108.476999999999</v>
      </c>
      <c r="G148">
        <v>20.166</v>
      </c>
    </row>
    <row r="149" spans="1:7" x14ac:dyDescent="0.15">
      <c r="A149" s="141" t="s">
        <v>258</v>
      </c>
      <c r="B149">
        <v>94534.351999999999</v>
      </c>
      <c r="C149">
        <v>41.641199999999998</v>
      </c>
      <c r="D149">
        <v>36.483899999999998</v>
      </c>
      <c r="E149">
        <v>37.475499999999997</v>
      </c>
      <c r="F149">
        <v>399171.125</v>
      </c>
      <c r="G149">
        <v>34.530999999999999</v>
      </c>
    </row>
    <row r="150" spans="1:7" x14ac:dyDescent="0.15">
      <c r="A150" s="141" t="s">
        <v>259</v>
      </c>
      <c r="B150">
        <v>48486.239999999998</v>
      </c>
      <c r="C150">
        <v>38.858600000000003</v>
      </c>
      <c r="D150">
        <v>34.145600000000002</v>
      </c>
      <c r="E150">
        <v>35.476900000000001</v>
      </c>
      <c r="F150">
        <v>279044.375</v>
      </c>
      <c r="G150">
        <v>28.111000000000001</v>
      </c>
    </row>
    <row r="151" spans="1:7" x14ac:dyDescent="0.15">
      <c r="A151" s="141" t="s">
        <v>260</v>
      </c>
      <c r="B151">
        <v>22411.984</v>
      </c>
      <c r="C151">
        <v>35.753599999999999</v>
      </c>
      <c r="D151">
        <v>32.193199999999997</v>
      </c>
      <c r="E151">
        <v>33.756900000000002</v>
      </c>
      <c r="F151">
        <v>157745.59400000001</v>
      </c>
      <c r="G151">
        <v>23.381</v>
      </c>
    </row>
    <row r="152" spans="1:7" x14ac:dyDescent="0.15">
      <c r="A152" s="141" t="s">
        <v>261</v>
      </c>
      <c r="B152">
        <v>9355.0640000000003</v>
      </c>
      <c r="C152">
        <v>32.717599999999997</v>
      </c>
      <c r="D152">
        <v>30.5016</v>
      </c>
      <c r="E152">
        <v>32.279699999999998</v>
      </c>
      <c r="F152">
        <v>88033.976999999999</v>
      </c>
      <c r="G152">
        <v>20.594000000000001</v>
      </c>
    </row>
    <row r="153" spans="1:7" x14ac:dyDescent="0.15">
      <c r="A153" s="141" t="s">
        <v>262</v>
      </c>
      <c r="B153">
        <v>47378.12</v>
      </c>
      <c r="C153">
        <v>38.890599999999999</v>
      </c>
      <c r="D153">
        <v>41.020099999999999</v>
      </c>
      <c r="E153">
        <v>41.2744</v>
      </c>
      <c r="F153">
        <v>215363.28099999999</v>
      </c>
      <c r="G153">
        <v>21.372</v>
      </c>
    </row>
    <row r="154" spans="1:7" x14ac:dyDescent="0.15">
      <c r="A154" s="141" t="s">
        <v>263</v>
      </c>
      <c r="B154">
        <v>23269.272000000001</v>
      </c>
      <c r="C154">
        <v>37.511000000000003</v>
      </c>
      <c r="D154">
        <v>38.485999999999997</v>
      </c>
      <c r="E154">
        <v>39.768999999999998</v>
      </c>
      <c r="F154">
        <v>116873.54700000001</v>
      </c>
      <c r="G154">
        <v>15.651999999999999</v>
      </c>
    </row>
    <row r="155" spans="1:7" x14ac:dyDescent="0.15">
      <c r="A155" s="141" t="s">
        <v>264</v>
      </c>
      <c r="B155">
        <v>12087.103999999999</v>
      </c>
      <c r="C155">
        <v>35.930399999999999</v>
      </c>
      <c r="D155">
        <v>36.295499999999997</v>
      </c>
      <c r="E155">
        <v>38.302399999999999</v>
      </c>
      <c r="F155">
        <v>72201.952999999994</v>
      </c>
      <c r="G155">
        <v>13.404</v>
      </c>
    </row>
    <row r="156" spans="1:7" x14ac:dyDescent="0.15">
      <c r="A156" s="141" t="s">
        <v>265</v>
      </c>
      <c r="B156">
        <v>5918.7280000000001</v>
      </c>
      <c r="C156">
        <v>33.989699999999999</v>
      </c>
      <c r="D156">
        <v>33.886400000000002</v>
      </c>
      <c r="E156">
        <v>36.584299999999999</v>
      </c>
      <c r="F156">
        <v>43122.402000000002</v>
      </c>
      <c r="G156">
        <v>11.679</v>
      </c>
    </row>
    <row r="157" spans="1:7" x14ac:dyDescent="0.15">
      <c r="A157" s="141" t="s">
        <v>266</v>
      </c>
      <c r="B157">
        <v>24794.815999999999</v>
      </c>
      <c r="C157">
        <v>37.5062</v>
      </c>
      <c r="D157">
        <v>44.789900000000003</v>
      </c>
      <c r="E157">
        <v>42.475999999999999</v>
      </c>
      <c r="F157">
        <v>322237.75</v>
      </c>
      <c r="G157">
        <v>29.757000000000001</v>
      </c>
    </row>
    <row r="158" spans="1:7" x14ac:dyDescent="0.15">
      <c r="A158" s="141" t="s">
        <v>267</v>
      </c>
      <c r="B158">
        <v>10576.224</v>
      </c>
      <c r="C158">
        <v>36.86</v>
      </c>
      <c r="D158">
        <v>44.049199999999999</v>
      </c>
      <c r="E158">
        <v>41.677700000000002</v>
      </c>
      <c r="F158">
        <v>151716.43799999999</v>
      </c>
      <c r="G158">
        <v>23.661999999999999</v>
      </c>
    </row>
    <row r="159" spans="1:7" x14ac:dyDescent="0.15">
      <c r="A159" s="141" t="s">
        <v>268</v>
      </c>
      <c r="B159">
        <v>5309.4319999999998</v>
      </c>
      <c r="C159">
        <v>35.82</v>
      </c>
      <c r="D159">
        <v>42.9895</v>
      </c>
      <c r="E159">
        <v>40.558199999999999</v>
      </c>
      <c r="F159">
        <v>82222.101999999999</v>
      </c>
      <c r="G159">
        <v>20.234999999999999</v>
      </c>
    </row>
    <row r="160" spans="1:7" x14ac:dyDescent="0.15">
      <c r="A160" s="141" t="s">
        <v>269</v>
      </c>
      <c r="B160">
        <v>2641.752</v>
      </c>
      <c r="C160">
        <v>34.209200000000003</v>
      </c>
      <c r="D160">
        <v>41.629600000000003</v>
      </c>
      <c r="E160">
        <v>39.354199999999999</v>
      </c>
      <c r="F160">
        <v>42444.815999999999</v>
      </c>
      <c r="G160">
        <v>16.079999999999998</v>
      </c>
    </row>
    <row r="161" spans="1:7" x14ac:dyDescent="0.15">
      <c r="A161" s="141" t="s">
        <v>142</v>
      </c>
      <c r="B161">
        <v>8380.8575999999994</v>
      </c>
      <c r="C161">
        <v>37.951099999999997</v>
      </c>
      <c r="D161">
        <v>39.555900000000001</v>
      </c>
      <c r="E161">
        <v>42.55</v>
      </c>
      <c r="F161">
        <v>341294.96899999998</v>
      </c>
      <c r="G161">
        <v>27.053000000000001</v>
      </c>
    </row>
    <row r="162" spans="1:7" x14ac:dyDescent="0.15">
      <c r="A162" s="141" t="s">
        <v>143</v>
      </c>
      <c r="B162">
        <v>3975.3728000000001</v>
      </c>
      <c r="C162">
        <v>36.589500000000001</v>
      </c>
      <c r="D162">
        <v>38.840800000000002</v>
      </c>
      <c r="E162">
        <v>41.350999999999999</v>
      </c>
      <c r="F162">
        <v>214409.78099999999</v>
      </c>
      <c r="G162">
        <v>21.779</v>
      </c>
    </row>
    <row r="163" spans="1:7" x14ac:dyDescent="0.15">
      <c r="A163" s="141" t="s">
        <v>144</v>
      </c>
      <c r="B163">
        <v>1952.5616</v>
      </c>
      <c r="C163">
        <v>34.750599999999999</v>
      </c>
      <c r="D163">
        <v>37.945099999999996</v>
      </c>
      <c r="E163">
        <v>39.789700000000003</v>
      </c>
      <c r="F163">
        <v>113914.406</v>
      </c>
      <c r="G163">
        <v>17.931000000000001</v>
      </c>
    </row>
    <row r="164" spans="1:7" x14ac:dyDescent="0.15">
      <c r="A164" s="141" t="s">
        <v>145</v>
      </c>
      <c r="B164">
        <v>927.6336</v>
      </c>
      <c r="C164">
        <v>32.416899999999998</v>
      </c>
      <c r="D164">
        <v>36.8108</v>
      </c>
      <c r="E164">
        <v>38.077399999999997</v>
      </c>
      <c r="F164">
        <v>66638.789000000004</v>
      </c>
      <c r="G164">
        <v>14.066000000000001</v>
      </c>
    </row>
    <row r="165" spans="1:7" x14ac:dyDescent="0.15">
      <c r="A165" s="141" t="s">
        <v>146</v>
      </c>
      <c r="B165">
        <v>9658.0144</v>
      </c>
      <c r="C165">
        <v>38.687100000000001</v>
      </c>
      <c r="D165">
        <v>43.515700000000002</v>
      </c>
      <c r="E165">
        <v>44.398099999999999</v>
      </c>
      <c r="F165">
        <v>359856.75</v>
      </c>
      <c r="G165">
        <v>34.929000000000002</v>
      </c>
    </row>
    <row r="166" spans="1:7" x14ac:dyDescent="0.15">
      <c r="A166" s="141" t="s">
        <v>147</v>
      </c>
      <c r="B166">
        <v>4957.2928000000002</v>
      </c>
      <c r="C166">
        <v>37.447800000000001</v>
      </c>
      <c r="D166">
        <v>42.489600000000003</v>
      </c>
      <c r="E166">
        <v>42.84</v>
      </c>
      <c r="F166">
        <v>224448.43799999999</v>
      </c>
      <c r="G166">
        <v>29.858000000000001</v>
      </c>
    </row>
    <row r="167" spans="1:7" x14ac:dyDescent="0.15">
      <c r="A167" s="141" t="s">
        <v>148</v>
      </c>
      <c r="B167">
        <v>2519.8591999999999</v>
      </c>
      <c r="C167">
        <v>35.746899999999997</v>
      </c>
      <c r="D167">
        <v>41.144399999999997</v>
      </c>
      <c r="E167">
        <v>41.003399999999999</v>
      </c>
      <c r="F167">
        <v>126297.461</v>
      </c>
      <c r="G167">
        <v>25.111999999999998</v>
      </c>
    </row>
    <row r="168" spans="1:7" x14ac:dyDescent="0.15">
      <c r="A168" s="141" t="s">
        <v>149</v>
      </c>
      <c r="B168">
        <v>1248.1472000000001</v>
      </c>
      <c r="C168">
        <v>33.648800000000001</v>
      </c>
      <c r="D168">
        <v>39.712600000000002</v>
      </c>
      <c r="E168">
        <v>39.100499999999997</v>
      </c>
      <c r="F168">
        <v>80535.781000000003</v>
      </c>
      <c r="G168">
        <v>21.853000000000002</v>
      </c>
    </row>
    <row r="169" spans="1:7" x14ac:dyDescent="0.15">
      <c r="A169" s="141" t="s">
        <v>270</v>
      </c>
      <c r="B169">
        <v>6598.5568000000003</v>
      </c>
      <c r="C169">
        <v>39.776800000000001</v>
      </c>
      <c r="D169">
        <v>43.434199999999997</v>
      </c>
      <c r="E169">
        <v>44.283099999999997</v>
      </c>
      <c r="F169">
        <v>315527.09399999998</v>
      </c>
      <c r="G169">
        <v>36.331000000000003</v>
      </c>
    </row>
    <row r="170" spans="1:7" x14ac:dyDescent="0.15">
      <c r="A170" s="141" t="s">
        <v>271</v>
      </c>
      <c r="B170">
        <v>3152.8496</v>
      </c>
      <c r="C170">
        <v>38.475299999999997</v>
      </c>
      <c r="D170">
        <v>42.505800000000001</v>
      </c>
      <c r="E170">
        <v>43.343800000000002</v>
      </c>
      <c r="F170">
        <v>179993.125</v>
      </c>
      <c r="G170">
        <v>47.753</v>
      </c>
    </row>
    <row r="171" spans="1:7" x14ac:dyDescent="0.15">
      <c r="A171" s="141" t="s">
        <v>272</v>
      </c>
      <c r="B171">
        <v>1518.8527999999999</v>
      </c>
      <c r="C171">
        <v>36.656500000000001</v>
      </c>
      <c r="D171">
        <v>41.2684</v>
      </c>
      <c r="E171">
        <v>41.975200000000001</v>
      </c>
      <c r="F171">
        <v>99486.875</v>
      </c>
      <c r="G171">
        <v>25.577999999999999</v>
      </c>
    </row>
    <row r="172" spans="1:7" x14ac:dyDescent="0.15">
      <c r="A172" s="141" t="s">
        <v>273</v>
      </c>
      <c r="B172">
        <v>710.59519999999998</v>
      </c>
      <c r="C172">
        <v>34.356000000000002</v>
      </c>
      <c r="D172">
        <v>40.125999999999998</v>
      </c>
      <c r="E172">
        <v>40.621200000000002</v>
      </c>
      <c r="F172">
        <v>54647.148000000001</v>
      </c>
      <c r="G172">
        <v>21.311</v>
      </c>
    </row>
    <row r="173" spans="1:7" x14ac:dyDescent="0.15">
      <c r="A173" s="141" t="s">
        <v>274</v>
      </c>
      <c r="B173">
        <v>7065.1264000000001</v>
      </c>
      <c r="C173">
        <v>43.286999999999999</v>
      </c>
      <c r="D173">
        <v>46.082700000000003</v>
      </c>
      <c r="E173">
        <v>46.796100000000003</v>
      </c>
      <c r="F173">
        <v>282429.71899999998</v>
      </c>
      <c r="G173">
        <v>38.898000000000003</v>
      </c>
    </row>
    <row r="174" spans="1:7" x14ac:dyDescent="0.15">
      <c r="A174" s="141" t="s">
        <v>275</v>
      </c>
      <c r="B174">
        <v>4299.9183999999996</v>
      </c>
      <c r="C174">
        <v>40.9696</v>
      </c>
      <c r="D174">
        <v>44.570700000000002</v>
      </c>
      <c r="E174">
        <v>45.102800000000002</v>
      </c>
      <c r="F174">
        <v>188807</v>
      </c>
      <c r="G174">
        <v>51.360999999999997</v>
      </c>
    </row>
    <row r="175" spans="1:7" x14ac:dyDescent="0.15">
      <c r="A175" s="141" t="s">
        <v>276</v>
      </c>
      <c r="B175">
        <v>2372.4416000000001</v>
      </c>
      <c r="C175">
        <v>38.164700000000003</v>
      </c>
      <c r="D175">
        <v>42.932000000000002</v>
      </c>
      <c r="E175">
        <v>43.236199999999997</v>
      </c>
      <c r="F175">
        <v>116352.80499999999</v>
      </c>
      <c r="G175">
        <v>28.356999999999999</v>
      </c>
    </row>
    <row r="176" spans="1:7" x14ac:dyDescent="0.15">
      <c r="A176" s="141" t="s">
        <v>277</v>
      </c>
      <c r="B176">
        <v>1232.8112000000001</v>
      </c>
      <c r="C176">
        <v>35.21</v>
      </c>
      <c r="D176">
        <v>41.435400000000001</v>
      </c>
      <c r="E176">
        <v>41.444200000000002</v>
      </c>
      <c r="F176">
        <v>70066.866999999998</v>
      </c>
      <c r="G176">
        <v>23.225000000000001</v>
      </c>
    </row>
    <row r="177" spans="1:7" x14ac:dyDescent="0.15">
      <c r="A177" s="141" t="s">
        <v>150</v>
      </c>
      <c r="B177" s="71">
        <v>4887.5824000000002</v>
      </c>
      <c r="C177" s="71">
        <v>38.368699999999997</v>
      </c>
      <c r="D177" s="71">
        <v>44.987000000000002</v>
      </c>
      <c r="E177" s="71">
        <v>45.274900000000002</v>
      </c>
      <c r="F177" s="71">
        <v>178209.78099999999</v>
      </c>
      <c r="G177" s="71">
        <v>25.257000000000001</v>
      </c>
    </row>
    <row r="178" spans="1:7" x14ac:dyDescent="0.15">
      <c r="A178" s="141" t="s">
        <v>151</v>
      </c>
      <c r="B178" s="71">
        <v>1709.4656</v>
      </c>
      <c r="C178" s="71">
        <v>36.369900000000001</v>
      </c>
      <c r="D178" s="71">
        <v>43.770099999999999</v>
      </c>
      <c r="E178" s="71">
        <v>44.099400000000003</v>
      </c>
      <c r="F178" s="71">
        <v>88902.023000000001</v>
      </c>
      <c r="G178" s="71">
        <v>11.92</v>
      </c>
    </row>
    <row r="179" spans="1:7" x14ac:dyDescent="0.15">
      <c r="A179" s="141" t="s">
        <v>152</v>
      </c>
      <c r="B179" s="71">
        <v>672.23519999999996</v>
      </c>
      <c r="C179" s="71">
        <v>33.919600000000003</v>
      </c>
      <c r="D179" s="71">
        <v>42.164200000000001</v>
      </c>
      <c r="E179" s="71">
        <v>42.492199999999997</v>
      </c>
      <c r="F179" s="71">
        <v>48464.23</v>
      </c>
      <c r="G179" s="71">
        <v>8.8610000000000007</v>
      </c>
    </row>
    <row r="180" spans="1:7" x14ac:dyDescent="0.15">
      <c r="A180" s="141" t="s">
        <v>153</v>
      </c>
      <c r="B180" s="71">
        <v>280.84320000000002</v>
      </c>
      <c r="C180" s="71">
        <v>30.890899999999998</v>
      </c>
      <c r="D180" s="71">
        <v>40.843000000000004</v>
      </c>
      <c r="E180" s="71">
        <v>41.336500000000001</v>
      </c>
      <c r="F180" s="71">
        <v>27552.307000000001</v>
      </c>
      <c r="G180" s="71">
        <v>7.3079999999999998</v>
      </c>
    </row>
    <row r="181" spans="1:7" x14ac:dyDescent="0.15">
      <c r="A181" s="141" t="s">
        <v>154</v>
      </c>
      <c r="B181" s="71">
        <v>3998.0383999999999</v>
      </c>
      <c r="C181" s="71">
        <v>40.4604</v>
      </c>
      <c r="D181" s="71">
        <v>45.130200000000002</v>
      </c>
      <c r="E181" s="71">
        <v>45.914900000000003</v>
      </c>
      <c r="F181" s="71">
        <v>175900.54699999999</v>
      </c>
      <c r="G181" s="71">
        <v>17.661000000000001</v>
      </c>
    </row>
    <row r="182" spans="1:7" x14ac:dyDescent="0.15">
      <c r="A182" s="141" t="s">
        <v>155</v>
      </c>
      <c r="B182" s="71">
        <v>1834.3471999999999</v>
      </c>
      <c r="C182" s="71">
        <v>38.825600000000001</v>
      </c>
      <c r="D182" s="71">
        <v>44.215400000000002</v>
      </c>
      <c r="E182" s="71">
        <v>44.326300000000003</v>
      </c>
      <c r="F182" s="71">
        <v>88684.297000000006</v>
      </c>
      <c r="G182" s="71">
        <v>13.956</v>
      </c>
    </row>
    <row r="183" spans="1:7" x14ac:dyDescent="0.15">
      <c r="A183" s="141" t="s">
        <v>156</v>
      </c>
      <c r="B183" s="71">
        <v>879.59199999999998</v>
      </c>
      <c r="C183" s="71">
        <v>36.881</v>
      </c>
      <c r="D183" s="71">
        <v>43.117800000000003</v>
      </c>
      <c r="E183" s="71">
        <v>42.434800000000003</v>
      </c>
      <c r="F183" s="71">
        <v>50296.805</v>
      </c>
      <c r="G183" s="71">
        <v>11.343999999999999</v>
      </c>
    </row>
    <row r="184" spans="1:7" x14ac:dyDescent="0.15">
      <c r="A184" s="141" t="s">
        <v>157</v>
      </c>
      <c r="B184" s="71">
        <v>412.81279999999998</v>
      </c>
      <c r="C184" s="71">
        <v>34.646999999999998</v>
      </c>
      <c r="D184" s="71">
        <v>41.804200000000002</v>
      </c>
      <c r="E184" s="71">
        <v>40.537500000000001</v>
      </c>
      <c r="F184" s="71">
        <v>27356.467000000001</v>
      </c>
      <c r="G184" s="71">
        <v>8.6129999999999995</v>
      </c>
    </row>
    <row r="185" spans="1:7" x14ac:dyDescent="0.15">
      <c r="A185" s="141" t="s">
        <v>158</v>
      </c>
      <c r="B185" s="71">
        <v>988.52959999999996</v>
      </c>
      <c r="C185" s="71">
        <v>42.904600000000002</v>
      </c>
      <c r="D185" s="71">
        <v>46.4893</v>
      </c>
      <c r="E185" s="71">
        <v>47.313699999999997</v>
      </c>
      <c r="F185" s="71">
        <v>56647.987999999998</v>
      </c>
      <c r="G185" s="71">
        <v>8.7379999999999995</v>
      </c>
    </row>
    <row r="186" spans="1:7" x14ac:dyDescent="0.15">
      <c r="A186" s="141" t="s">
        <v>159</v>
      </c>
      <c r="B186" s="71">
        <v>508.7824</v>
      </c>
      <c r="C186" s="71">
        <v>41.276499999999999</v>
      </c>
      <c r="D186" s="71">
        <v>45.559600000000003</v>
      </c>
      <c r="E186" s="71">
        <v>46.184399999999997</v>
      </c>
      <c r="F186" s="71">
        <v>33262.105000000003</v>
      </c>
      <c r="G186" s="71">
        <v>7.0380000000000003</v>
      </c>
    </row>
    <row r="187" spans="1:7" x14ac:dyDescent="0.15">
      <c r="A187" s="141" t="s">
        <v>160</v>
      </c>
      <c r="B187" s="71">
        <v>271.43200000000002</v>
      </c>
      <c r="C187" s="71">
        <v>39.090000000000003</v>
      </c>
      <c r="D187" s="71">
        <v>44.197600000000001</v>
      </c>
      <c r="E187" s="71">
        <v>44.595300000000002</v>
      </c>
      <c r="F187" s="71">
        <v>19441.855</v>
      </c>
      <c r="G187" s="71">
        <v>5.3019999999999996</v>
      </c>
    </row>
    <row r="188" spans="1:7" x14ac:dyDescent="0.15">
      <c r="A188" s="141" t="s">
        <v>161</v>
      </c>
      <c r="B188" s="71">
        <v>147.96</v>
      </c>
      <c r="C188" s="71">
        <v>36.278399999999998</v>
      </c>
      <c r="D188" s="71">
        <v>42.571199999999997</v>
      </c>
      <c r="E188" s="71">
        <v>42.852800000000002</v>
      </c>
      <c r="F188" s="71">
        <v>11708.388000000001</v>
      </c>
      <c r="G188" s="71">
        <v>4.6829999999999998</v>
      </c>
    </row>
    <row r="189" spans="1:7" x14ac:dyDescent="0.15">
      <c r="A189" s="141" t="s">
        <v>162</v>
      </c>
      <c r="B189" s="71">
        <v>1369.184</v>
      </c>
      <c r="C189" s="71">
        <v>42.606299999999997</v>
      </c>
      <c r="D189" s="71">
        <v>48.028700000000001</v>
      </c>
      <c r="E189" s="71">
        <v>47.399299999999997</v>
      </c>
      <c r="F189" s="71">
        <v>72261.804999999993</v>
      </c>
      <c r="G189" s="71">
        <v>10.103999999999999</v>
      </c>
    </row>
    <row r="190" spans="1:7" x14ac:dyDescent="0.15">
      <c r="A190" s="141" t="s">
        <v>163</v>
      </c>
      <c r="B190" s="71">
        <v>676.90239999999994</v>
      </c>
      <c r="C190" s="71">
        <v>40.9101</v>
      </c>
      <c r="D190" s="71">
        <v>47.203600000000002</v>
      </c>
      <c r="E190" s="71">
        <v>46.173200000000001</v>
      </c>
      <c r="F190" s="71">
        <v>36591.031000000003</v>
      </c>
      <c r="G190" s="71">
        <v>7.6840000000000002</v>
      </c>
    </row>
    <row r="191" spans="1:7" x14ac:dyDescent="0.15">
      <c r="A191" s="141" t="s">
        <v>164</v>
      </c>
      <c r="B191" s="71">
        <v>359.14080000000001</v>
      </c>
      <c r="C191" s="71">
        <v>38.5944</v>
      </c>
      <c r="D191" s="71">
        <v>46.064900000000002</v>
      </c>
      <c r="E191" s="71">
        <v>44.511600000000001</v>
      </c>
      <c r="F191" s="71">
        <v>21111.956999999999</v>
      </c>
      <c r="G191" s="71">
        <v>5.8940000000000001</v>
      </c>
    </row>
    <row r="192" spans="1:7" x14ac:dyDescent="0.15">
      <c r="A192" s="141" t="s">
        <v>165</v>
      </c>
      <c r="B192" s="71">
        <v>196.32480000000001</v>
      </c>
      <c r="C192" s="71">
        <v>35.512500000000003</v>
      </c>
      <c r="D192" s="71">
        <v>44.866500000000002</v>
      </c>
      <c r="E192" s="71">
        <v>42.4617</v>
      </c>
      <c r="F192" s="71">
        <v>13355.763999999999</v>
      </c>
      <c r="G192" s="71">
        <v>5.3970000000000002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zoomScaleNormal="100" workbookViewId="0">
      <selection activeCell="I1" sqref="I1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</row>
    <row r="2" spans="1:7" x14ac:dyDescent="0.15">
      <c r="A2" s="141" t="s">
        <v>191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 s="141" t="s">
        <v>192</v>
      </c>
      <c r="B3">
        <v>25032.570800000001</v>
      </c>
      <c r="C3">
        <v>39.418100000000003</v>
      </c>
      <c r="D3">
        <v>47.363900000000001</v>
      </c>
      <c r="E3">
        <v>45.252200000000002</v>
      </c>
      <c r="F3">
        <v>30045.103999999999</v>
      </c>
      <c r="G3">
        <v>22.334</v>
      </c>
    </row>
    <row r="4" spans="1:7" x14ac:dyDescent="0.15">
      <c r="A4" s="141" t="s">
        <v>193</v>
      </c>
      <c r="B4">
        <v>14265.6389</v>
      </c>
      <c r="C4">
        <v>38.194800000000001</v>
      </c>
      <c r="D4">
        <v>45.863999999999997</v>
      </c>
      <c r="E4">
        <v>43.448500000000003</v>
      </c>
      <c r="F4">
        <v>16253.178</v>
      </c>
      <c r="G4">
        <v>20.765999999999998</v>
      </c>
    </row>
    <row r="5" spans="1:7" x14ac:dyDescent="0.15">
      <c r="A5" s="141" t="s">
        <v>194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 s="141" t="s">
        <v>195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 s="141" t="s">
        <v>196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 s="141" t="s">
        <v>197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 s="141" t="s">
        <v>198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 s="141" t="s">
        <v>199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15">
      <c r="A11" s="141" t="s">
        <v>200</v>
      </c>
      <c r="B11">
        <v>25617</v>
      </c>
      <c r="C11">
        <v>37.287500000000001</v>
      </c>
      <c r="D11">
        <v>38.915599999999998</v>
      </c>
      <c r="E11">
        <v>40.426299999999998</v>
      </c>
      <c r="F11">
        <v>46443.343999999997</v>
      </c>
      <c r="G11">
        <v>21.992000000000001</v>
      </c>
    </row>
    <row r="12" spans="1:7" x14ac:dyDescent="0.15">
      <c r="A12" s="141" t="s">
        <v>201</v>
      </c>
      <c r="B12">
        <v>12382.5663</v>
      </c>
      <c r="C12">
        <v>35.897799999999997</v>
      </c>
      <c r="D12">
        <v>36.217399999999998</v>
      </c>
      <c r="E12">
        <v>38.920299999999997</v>
      </c>
      <c r="F12">
        <v>25681.773000000001</v>
      </c>
      <c r="G12">
        <v>19.045000000000002</v>
      </c>
    </row>
    <row r="13" spans="1:7" x14ac:dyDescent="0.15">
      <c r="A13" s="141" t="s">
        <v>202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 s="141" t="s">
        <v>203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 s="141" t="s">
        <v>204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 s="141" t="s">
        <v>205</v>
      </c>
      <c r="B16">
        <v>26433.1705</v>
      </c>
      <c r="C16">
        <v>35.2258</v>
      </c>
      <c r="D16">
        <v>42.01</v>
      </c>
      <c r="E16">
        <v>39.510899999999999</v>
      </c>
      <c r="F16">
        <v>33985.370999999999</v>
      </c>
      <c r="G16">
        <v>20.997</v>
      </c>
    </row>
    <row r="17" spans="1:7" x14ac:dyDescent="0.15">
      <c r="A17" s="141" t="s">
        <v>94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 s="141" t="s">
        <v>95</v>
      </c>
      <c r="B18">
        <v>40723.352400000003</v>
      </c>
      <c r="C18">
        <v>37.901800000000001</v>
      </c>
      <c r="D18">
        <v>39.331499999999998</v>
      </c>
      <c r="E18">
        <v>41.799199999999999</v>
      </c>
      <c r="F18">
        <v>56751.737999999998</v>
      </c>
      <c r="G18">
        <v>13.68</v>
      </c>
    </row>
    <row r="19" spans="1:7" x14ac:dyDescent="0.15">
      <c r="A19" s="141" t="s">
        <v>96</v>
      </c>
      <c r="B19">
        <v>23427.676200000002</v>
      </c>
      <c r="C19">
        <v>35.976500000000001</v>
      </c>
      <c r="D19">
        <v>38.403700000000001</v>
      </c>
      <c r="E19">
        <v>40.352200000000003</v>
      </c>
      <c r="F19">
        <v>37686.805</v>
      </c>
      <c r="G19">
        <v>11.679</v>
      </c>
    </row>
    <row r="20" spans="1:7" x14ac:dyDescent="0.15">
      <c r="A20" s="141" t="s">
        <v>97</v>
      </c>
      <c r="B20">
        <v>11941.644399999999</v>
      </c>
      <c r="C20">
        <v>33.501899999999999</v>
      </c>
      <c r="D20">
        <v>37.166899999999998</v>
      </c>
      <c r="E20">
        <v>38.611499999999999</v>
      </c>
      <c r="F20">
        <v>23474.697</v>
      </c>
      <c r="G20">
        <v>10.048</v>
      </c>
    </row>
    <row r="21" spans="1:7" x14ac:dyDescent="0.15">
      <c r="A21" s="141" t="s">
        <v>98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 s="141" t="s">
        <v>99</v>
      </c>
      <c r="B22">
        <v>23403.2127</v>
      </c>
      <c r="C22">
        <v>38.706299999999999</v>
      </c>
      <c r="D22">
        <v>43.029899999999998</v>
      </c>
      <c r="E22">
        <v>43.958799999999997</v>
      </c>
      <c r="F22">
        <v>41351.406000000003</v>
      </c>
      <c r="G22">
        <v>11.756</v>
      </c>
    </row>
    <row r="23" spans="1:7" x14ac:dyDescent="0.15">
      <c r="A23" s="141" t="s">
        <v>100</v>
      </c>
      <c r="B23">
        <v>13142.7556</v>
      </c>
      <c r="C23">
        <v>37.247100000000003</v>
      </c>
      <c r="D23">
        <v>41.877899999999997</v>
      </c>
      <c r="E23">
        <v>42.365000000000002</v>
      </c>
      <c r="F23">
        <v>26212.976999999999</v>
      </c>
      <c r="G23">
        <v>10.481</v>
      </c>
    </row>
    <row r="24" spans="1:7" x14ac:dyDescent="0.15">
      <c r="A24" s="141" t="s">
        <v>101</v>
      </c>
      <c r="B24">
        <v>7014.4825000000001</v>
      </c>
      <c r="C24">
        <v>35.314500000000002</v>
      </c>
      <c r="D24">
        <v>40.353499999999997</v>
      </c>
      <c r="E24">
        <v>40.3825</v>
      </c>
      <c r="F24">
        <v>15783.68</v>
      </c>
      <c r="G24">
        <v>9.3789999999999996</v>
      </c>
    </row>
    <row r="25" spans="1:7" x14ac:dyDescent="0.15">
      <c r="A25" s="141" t="s">
        <v>206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15">
      <c r="A26" s="141" t="s">
        <v>207</v>
      </c>
      <c r="B26">
        <v>41955.462399999997</v>
      </c>
      <c r="C26">
        <v>39.8904</v>
      </c>
      <c r="D26">
        <v>42.6511</v>
      </c>
      <c r="E26">
        <v>43.607799999999997</v>
      </c>
      <c r="F26">
        <v>51931.593999999997</v>
      </c>
      <c r="G26">
        <v>15.292999999999999</v>
      </c>
    </row>
    <row r="27" spans="1:7" x14ac:dyDescent="0.15">
      <c r="A27" s="141" t="s">
        <v>208</v>
      </c>
      <c r="B27">
        <v>24654.604800000001</v>
      </c>
      <c r="C27">
        <v>37.674399999999999</v>
      </c>
      <c r="D27">
        <v>41.263500000000001</v>
      </c>
      <c r="E27">
        <v>42.248800000000003</v>
      </c>
      <c r="F27">
        <v>35295.644999999997</v>
      </c>
      <c r="G27">
        <v>13.411</v>
      </c>
    </row>
    <row r="28" spans="1:7" x14ac:dyDescent="0.15">
      <c r="A28" s="141" t="s">
        <v>209</v>
      </c>
      <c r="B28">
        <v>12459.2768</v>
      </c>
      <c r="C28">
        <v>34.997199999999999</v>
      </c>
      <c r="D28">
        <v>39.688800000000001</v>
      </c>
      <c r="E28">
        <v>40.598300000000002</v>
      </c>
      <c r="F28">
        <v>21661.611000000001</v>
      </c>
      <c r="G28">
        <v>11.742000000000001</v>
      </c>
    </row>
    <row r="29" spans="1:7" x14ac:dyDescent="0.15">
      <c r="A29" s="141" t="s">
        <v>210</v>
      </c>
      <c r="B29">
        <v>39891.321600000003</v>
      </c>
      <c r="C29">
        <v>44.859499999999997</v>
      </c>
      <c r="D29">
        <v>47.069299999999998</v>
      </c>
      <c r="E29">
        <v>48.015999999999998</v>
      </c>
      <c r="F29">
        <v>49765.078000000001</v>
      </c>
      <c r="G29">
        <v>15.249000000000001</v>
      </c>
    </row>
    <row r="30" spans="1:7" x14ac:dyDescent="0.15">
      <c r="A30" s="141" t="s">
        <v>211</v>
      </c>
      <c r="B30">
        <v>26307.430400000001</v>
      </c>
      <c r="C30">
        <v>42.712499999999999</v>
      </c>
      <c r="D30">
        <v>45.302399999999999</v>
      </c>
      <c r="E30">
        <v>46.144399999999997</v>
      </c>
      <c r="F30">
        <v>38314.413999999997</v>
      </c>
      <c r="G30">
        <v>13.708</v>
      </c>
    </row>
    <row r="31" spans="1:7" x14ac:dyDescent="0.15">
      <c r="A31" s="141" t="s">
        <v>212</v>
      </c>
      <c r="B31">
        <v>15583.046399999999</v>
      </c>
      <c r="C31">
        <v>40.039299999999997</v>
      </c>
      <c r="D31">
        <v>43.6798</v>
      </c>
      <c r="E31">
        <v>44.342700000000001</v>
      </c>
      <c r="F31">
        <v>26907.794999999998</v>
      </c>
      <c r="G31">
        <v>12.212999999999999</v>
      </c>
    </row>
    <row r="32" spans="1:7" x14ac:dyDescent="0.15">
      <c r="A32" s="141" t="s">
        <v>213</v>
      </c>
      <c r="B32">
        <v>8138.0672000000004</v>
      </c>
      <c r="C32">
        <v>36.983899999999998</v>
      </c>
      <c r="D32">
        <v>41.812800000000003</v>
      </c>
      <c r="E32">
        <v>42.187600000000003</v>
      </c>
      <c r="F32">
        <v>16656.030999999999</v>
      </c>
      <c r="G32">
        <v>10.757999999999999</v>
      </c>
    </row>
    <row r="33" spans="1:7" x14ac:dyDescent="0.15">
      <c r="A33" s="141" t="s">
        <v>102</v>
      </c>
      <c r="B33">
        <v>54232.108800000002</v>
      </c>
      <c r="C33">
        <v>41.691600000000001</v>
      </c>
      <c r="D33">
        <v>45.695700000000002</v>
      </c>
      <c r="E33">
        <v>46.055199999999999</v>
      </c>
      <c r="F33">
        <v>49216.351999999999</v>
      </c>
      <c r="G33">
        <v>9.7240000000000002</v>
      </c>
    </row>
    <row r="34" spans="1:7" x14ac:dyDescent="0.15">
      <c r="A34" s="141" t="s">
        <v>103</v>
      </c>
      <c r="B34">
        <v>37054.7264</v>
      </c>
      <c r="C34">
        <v>38.760300000000001</v>
      </c>
      <c r="D34">
        <v>43.735900000000001</v>
      </c>
      <c r="E34">
        <v>44.156500000000001</v>
      </c>
      <c r="F34">
        <v>40742.004000000001</v>
      </c>
      <c r="G34">
        <v>9.0470000000000006</v>
      </c>
    </row>
    <row r="35" spans="1:7" x14ac:dyDescent="0.15">
      <c r="A35" s="141" t="s">
        <v>104</v>
      </c>
      <c r="B35">
        <v>22016.6528</v>
      </c>
      <c r="C35">
        <v>35.389600000000002</v>
      </c>
      <c r="D35">
        <v>42.098399999999998</v>
      </c>
      <c r="E35">
        <v>42.624099999999999</v>
      </c>
      <c r="F35">
        <v>30868.02</v>
      </c>
      <c r="G35">
        <v>7.6180000000000003</v>
      </c>
    </row>
    <row r="36" spans="1:7" x14ac:dyDescent="0.15">
      <c r="A36" s="141" t="s">
        <v>105</v>
      </c>
      <c r="B36">
        <v>10870.5728</v>
      </c>
      <c r="C36">
        <v>31.769400000000001</v>
      </c>
      <c r="D36">
        <v>40.547600000000003</v>
      </c>
      <c r="E36">
        <v>41.185200000000002</v>
      </c>
      <c r="F36">
        <v>19662.164000000001</v>
      </c>
      <c r="G36">
        <v>6.1669999999999998</v>
      </c>
    </row>
    <row r="37" spans="1:7" x14ac:dyDescent="0.15">
      <c r="A37" s="141" t="s">
        <v>106</v>
      </c>
      <c r="B37">
        <v>20390.604800000001</v>
      </c>
      <c r="C37">
        <v>42.667299999999997</v>
      </c>
      <c r="D37">
        <v>45.424700000000001</v>
      </c>
      <c r="E37">
        <v>46.883699999999997</v>
      </c>
      <c r="F37">
        <v>28082.603999999999</v>
      </c>
      <c r="G37">
        <v>6.9790000000000001</v>
      </c>
    </row>
    <row r="38" spans="1:7" x14ac:dyDescent="0.15">
      <c r="A38" s="141" t="s">
        <v>107</v>
      </c>
      <c r="B38">
        <v>11599.974399999999</v>
      </c>
      <c r="C38">
        <v>40.650100000000002</v>
      </c>
      <c r="D38">
        <v>44.457099999999997</v>
      </c>
      <c r="E38">
        <v>45.218400000000003</v>
      </c>
      <c r="F38">
        <v>19347.248</v>
      </c>
      <c r="G38">
        <v>6.056</v>
      </c>
    </row>
    <row r="39" spans="1:7" x14ac:dyDescent="0.15">
      <c r="A39" s="141" t="s">
        <v>108</v>
      </c>
      <c r="B39">
        <v>6433.0752000000002</v>
      </c>
      <c r="C39">
        <v>38.646500000000003</v>
      </c>
      <c r="D39">
        <v>43.451300000000003</v>
      </c>
      <c r="E39">
        <v>43.488599999999998</v>
      </c>
      <c r="F39">
        <v>12425.243</v>
      </c>
      <c r="G39">
        <v>5.2549999999999999</v>
      </c>
    </row>
    <row r="40" spans="1:7" x14ac:dyDescent="0.15">
      <c r="A40" s="141" t="s">
        <v>109</v>
      </c>
      <c r="B40">
        <v>3281.9456</v>
      </c>
      <c r="C40">
        <v>36.2714</v>
      </c>
      <c r="D40">
        <v>42.055500000000002</v>
      </c>
      <c r="E40">
        <v>41.349200000000003</v>
      </c>
      <c r="F40">
        <v>7568.3829999999998</v>
      </c>
      <c r="G40">
        <v>4.8760000000000003</v>
      </c>
    </row>
    <row r="41" spans="1:7" x14ac:dyDescent="0.15">
      <c r="A41" s="141" t="s">
        <v>110</v>
      </c>
      <c r="B41">
        <v>15326.464</v>
      </c>
      <c r="C41">
        <v>44.1815</v>
      </c>
      <c r="D41">
        <v>46.9116</v>
      </c>
      <c r="E41">
        <v>47.778799999999997</v>
      </c>
      <c r="F41">
        <v>22378.646000000001</v>
      </c>
      <c r="G41">
        <v>6.5679999999999996</v>
      </c>
    </row>
    <row r="42" spans="1:7" x14ac:dyDescent="0.15">
      <c r="A42" s="141" t="s">
        <v>111</v>
      </c>
      <c r="B42">
        <v>10382.924800000001</v>
      </c>
      <c r="C42">
        <v>42.447200000000002</v>
      </c>
      <c r="D42">
        <v>45.676200000000001</v>
      </c>
      <c r="E42">
        <v>46.351399999999998</v>
      </c>
      <c r="F42">
        <v>16702.826000000001</v>
      </c>
      <c r="G42">
        <v>5.9349999999999996</v>
      </c>
    </row>
    <row r="43" spans="1:7" x14ac:dyDescent="0.15">
      <c r="A43" s="141" t="s">
        <v>112</v>
      </c>
      <c r="B43">
        <v>6558.7327999999998</v>
      </c>
      <c r="C43">
        <v>40.103999999999999</v>
      </c>
      <c r="D43">
        <v>44.288400000000003</v>
      </c>
      <c r="E43">
        <v>44.827599999999997</v>
      </c>
      <c r="F43">
        <v>11767.558000000001</v>
      </c>
      <c r="G43">
        <v>5.5039999999999996</v>
      </c>
    </row>
    <row r="44" spans="1:7" x14ac:dyDescent="0.15">
      <c r="A44" s="141" t="s">
        <v>113</v>
      </c>
      <c r="B44">
        <v>3793.7984000000001</v>
      </c>
      <c r="C44">
        <v>37.116900000000001</v>
      </c>
      <c r="D44">
        <v>42.518799999999999</v>
      </c>
      <c r="E44">
        <v>42.941099999999999</v>
      </c>
      <c r="F44">
        <v>7959.8779999999997</v>
      </c>
      <c r="G44">
        <v>5.0149999999999997</v>
      </c>
    </row>
    <row r="45" spans="1:7" x14ac:dyDescent="0.15">
      <c r="A45" s="141" t="s">
        <v>114</v>
      </c>
      <c r="B45">
        <v>16543.328000000001</v>
      </c>
      <c r="C45">
        <v>44.1265</v>
      </c>
      <c r="D45">
        <v>48.393099999999997</v>
      </c>
      <c r="E45">
        <v>48.147599999999997</v>
      </c>
      <c r="F45">
        <v>21999.261999999999</v>
      </c>
      <c r="G45">
        <v>6.3029999999999999</v>
      </c>
    </row>
    <row r="46" spans="1:7" x14ac:dyDescent="0.15">
      <c r="A46" s="141" t="s">
        <v>115</v>
      </c>
      <c r="B46">
        <v>11480.947200000001</v>
      </c>
      <c r="C46">
        <v>42.376199999999997</v>
      </c>
      <c r="D46">
        <v>47.247100000000003</v>
      </c>
      <c r="E46">
        <v>46.526800000000001</v>
      </c>
      <c r="F46">
        <v>16880.213</v>
      </c>
      <c r="G46">
        <v>5.6520000000000001</v>
      </c>
    </row>
    <row r="47" spans="1:7" x14ac:dyDescent="0.15">
      <c r="A47" s="141" t="s">
        <v>116</v>
      </c>
      <c r="B47">
        <v>7450.1247999999996</v>
      </c>
      <c r="C47">
        <v>39.9724</v>
      </c>
      <c r="D47">
        <v>46.021299999999997</v>
      </c>
      <c r="E47">
        <v>44.681800000000003</v>
      </c>
      <c r="F47">
        <v>12345.812</v>
      </c>
      <c r="G47">
        <v>5.2649999999999997</v>
      </c>
    </row>
    <row r="48" spans="1:7" x14ac:dyDescent="0.15">
      <c r="A48" s="141" t="s">
        <v>117</v>
      </c>
      <c r="B48">
        <v>4334.9440000000004</v>
      </c>
      <c r="C48">
        <v>36.746699999999997</v>
      </c>
      <c r="D48">
        <v>44.255899999999997</v>
      </c>
      <c r="E48">
        <v>42.363999999999997</v>
      </c>
      <c r="F48">
        <v>8470.652</v>
      </c>
      <c r="G48">
        <v>4.7300000000000004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15">
      <c r="A74" s="141" t="s">
        <v>223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15">
      <c r="A75" s="141" t="s">
        <v>224</v>
      </c>
      <c r="B75">
        <v>3705.248</v>
      </c>
      <c r="C75">
        <v>38.716000000000001</v>
      </c>
      <c r="D75">
        <v>47.327300000000001</v>
      </c>
      <c r="E75">
        <v>44.732199999999999</v>
      </c>
      <c r="F75">
        <v>96476.134999999995</v>
      </c>
      <c r="G75">
        <v>57.643999999999998</v>
      </c>
    </row>
    <row r="76" spans="1:7" x14ac:dyDescent="0.15">
      <c r="A76" s="141" t="s">
        <v>225</v>
      </c>
      <c r="B76">
        <v>1961.8320000000001</v>
      </c>
      <c r="C76">
        <v>37.2042</v>
      </c>
      <c r="D76">
        <v>46.080100000000002</v>
      </c>
      <c r="E76">
        <v>43.069800000000001</v>
      </c>
      <c r="F76">
        <v>47123.78</v>
      </c>
      <c r="G76">
        <v>50.548999999999999</v>
      </c>
    </row>
    <row r="77" spans="1:7" x14ac:dyDescent="0.1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1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15">
      <c r="A79" s="141" t="s">
        <v>228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15">
      <c r="A80" s="141" t="s">
        <v>229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1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15">
      <c r="A82" s="141" t="s">
        <v>231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15">
      <c r="A83" s="141" t="s">
        <v>232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15">
      <c r="A84" s="141" t="s">
        <v>233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1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1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15">
      <c r="A87" s="141" t="s">
        <v>236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15">
      <c r="A88" s="141" t="s">
        <v>237</v>
      </c>
      <c r="B88">
        <v>2200.46</v>
      </c>
      <c r="C88">
        <v>34.701799999999999</v>
      </c>
      <c r="D88">
        <v>42.3125</v>
      </c>
      <c r="E88">
        <v>39.845300000000002</v>
      </c>
      <c r="F88">
        <v>64329.911999999997</v>
      </c>
      <c r="G88">
        <v>41.834000000000003</v>
      </c>
    </row>
    <row r="89" spans="1:7" x14ac:dyDescent="0.15">
      <c r="A89" s="141" t="s">
        <v>118</v>
      </c>
      <c r="B89">
        <v>10049.26</v>
      </c>
      <c r="C89">
        <v>37.979700000000001</v>
      </c>
      <c r="D89">
        <v>39.720999999999997</v>
      </c>
      <c r="E89">
        <v>43.091799999999999</v>
      </c>
      <c r="F89">
        <v>105508.677</v>
      </c>
      <c r="G89">
        <v>13.365</v>
      </c>
    </row>
    <row r="90" spans="1:7" x14ac:dyDescent="0.15">
      <c r="A90" s="141" t="s">
        <v>119</v>
      </c>
      <c r="B90">
        <v>4717.1279999999997</v>
      </c>
      <c r="C90">
        <v>36.881100000000004</v>
      </c>
      <c r="D90">
        <v>39.189599999999999</v>
      </c>
      <c r="E90">
        <v>41.972900000000003</v>
      </c>
      <c r="F90">
        <v>63385.701999999997</v>
      </c>
      <c r="G90">
        <v>11.445</v>
      </c>
    </row>
    <row r="91" spans="1:7" x14ac:dyDescent="0.15">
      <c r="A91" s="141" t="s">
        <v>120</v>
      </c>
      <c r="B91">
        <v>2398.3440000000001</v>
      </c>
      <c r="C91">
        <v>35.2973</v>
      </c>
      <c r="D91">
        <v>38.465499999999999</v>
      </c>
      <c r="E91">
        <v>40.6023</v>
      </c>
      <c r="F91">
        <v>37687.055999999997</v>
      </c>
      <c r="G91">
        <v>10.443</v>
      </c>
    </row>
    <row r="92" spans="1:7" x14ac:dyDescent="0.15">
      <c r="A92" s="141" t="s">
        <v>121</v>
      </c>
      <c r="B92">
        <v>1120.44</v>
      </c>
      <c r="C92">
        <v>33.049100000000003</v>
      </c>
      <c r="D92">
        <v>37.382399999999997</v>
      </c>
      <c r="E92">
        <v>38.925899999999999</v>
      </c>
      <c r="F92">
        <v>20626.091</v>
      </c>
      <c r="G92">
        <v>9.5310000000000006</v>
      </c>
    </row>
    <row r="93" spans="1:7" x14ac:dyDescent="0.15">
      <c r="A93" s="141" t="s">
        <v>122</v>
      </c>
      <c r="B93">
        <v>8813.2880000000005</v>
      </c>
      <c r="C93">
        <v>38.901699999999998</v>
      </c>
      <c r="D93">
        <v>43.935899999999997</v>
      </c>
      <c r="E93">
        <v>45.039900000000003</v>
      </c>
      <c r="F93">
        <v>107753.804</v>
      </c>
      <c r="G93">
        <v>14.877000000000001</v>
      </c>
    </row>
    <row r="94" spans="1:7" x14ac:dyDescent="0.15">
      <c r="A94" s="141" t="s">
        <v>123</v>
      </c>
      <c r="B94">
        <v>4393.3</v>
      </c>
      <c r="C94">
        <v>37.856400000000001</v>
      </c>
      <c r="D94">
        <v>43.0976</v>
      </c>
      <c r="E94">
        <v>43.616300000000003</v>
      </c>
      <c r="F94">
        <v>67371.070000000007</v>
      </c>
      <c r="G94">
        <v>13.722</v>
      </c>
    </row>
    <row r="95" spans="1:7" x14ac:dyDescent="0.15">
      <c r="A95" s="141" t="s">
        <v>124</v>
      </c>
      <c r="B95">
        <v>2236.944</v>
      </c>
      <c r="C95">
        <v>36.360100000000003</v>
      </c>
      <c r="D95">
        <v>41.990099999999998</v>
      </c>
      <c r="E95">
        <v>41.975000000000001</v>
      </c>
      <c r="F95">
        <v>36880.940999999999</v>
      </c>
      <c r="G95">
        <v>11.941000000000001</v>
      </c>
    </row>
    <row r="96" spans="1:7" x14ac:dyDescent="0.15">
      <c r="A96" s="141" t="s">
        <v>125</v>
      </c>
      <c r="B96">
        <v>1102.78</v>
      </c>
      <c r="C96">
        <v>34.294499999999999</v>
      </c>
      <c r="D96">
        <v>40.634799999999998</v>
      </c>
      <c r="E96">
        <v>40.153100000000002</v>
      </c>
      <c r="F96">
        <v>20895.306</v>
      </c>
      <c r="G96">
        <v>10.393000000000001</v>
      </c>
    </row>
    <row r="97" spans="1:7" x14ac:dyDescent="0.15">
      <c r="A97" s="141" t="s">
        <v>238</v>
      </c>
      <c r="B97">
        <v>6898.6480000000001</v>
      </c>
      <c r="C97">
        <v>39.6569</v>
      </c>
      <c r="D97">
        <v>43.66</v>
      </c>
      <c r="E97">
        <v>44.867199999999997</v>
      </c>
      <c r="F97">
        <v>100181.37699999999</v>
      </c>
      <c r="G97">
        <v>15.750999999999999</v>
      </c>
    </row>
    <row r="98" spans="1:7" x14ac:dyDescent="0.15">
      <c r="A98" s="141" t="s">
        <v>239</v>
      </c>
      <c r="B98">
        <v>3244.9720000000002</v>
      </c>
      <c r="C98">
        <v>38.460299999999997</v>
      </c>
      <c r="D98">
        <v>42.894500000000001</v>
      </c>
      <c r="E98">
        <v>44.1907</v>
      </c>
      <c r="F98">
        <v>60119.913</v>
      </c>
      <c r="G98">
        <v>13.997</v>
      </c>
    </row>
    <row r="99" spans="1:7" x14ac:dyDescent="0.15">
      <c r="A99" s="141" t="s">
        <v>240</v>
      </c>
      <c r="B99">
        <v>1544.116</v>
      </c>
      <c r="C99">
        <v>36.756</v>
      </c>
      <c r="D99">
        <v>41.892299999999999</v>
      </c>
      <c r="E99">
        <v>43.175600000000003</v>
      </c>
      <c r="F99">
        <v>33078.067000000003</v>
      </c>
      <c r="G99">
        <v>12.49</v>
      </c>
    </row>
    <row r="100" spans="1:7" x14ac:dyDescent="0.15">
      <c r="A100" s="141" t="s">
        <v>241</v>
      </c>
      <c r="B100">
        <v>694.24400000000003</v>
      </c>
      <c r="C100">
        <v>34.5304</v>
      </c>
      <c r="D100">
        <v>40.616900000000001</v>
      </c>
      <c r="E100">
        <v>41.811199999999999</v>
      </c>
      <c r="F100">
        <v>17298.918000000001</v>
      </c>
      <c r="G100">
        <v>10.677</v>
      </c>
    </row>
    <row r="101" spans="1:7" x14ac:dyDescent="0.15">
      <c r="A101" s="141" t="s">
        <v>242</v>
      </c>
      <c r="B101">
        <v>5762.9080000000004</v>
      </c>
      <c r="C101">
        <v>44.831499999999998</v>
      </c>
      <c r="D101">
        <v>47.206800000000001</v>
      </c>
      <c r="E101">
        <v>48.178800000000003</v>
      </c>
      <c r="F101">
        <v>71738.732000000004</v>
      </c>
      <c r="G101">
        <v>15.714</v>
      </c>
    </row>
    <row r="102" spans="1:7" x14ac:dyDescent="0.15">
      <c r="A102" s="141" t="s">
        <v>243</v>
      </c>
      <c r="B102">
        <v>3533.7440000000001</v>
      </c>
      <c r="C102">
        <v>42.594099999999997</v>
      </c>
      <c r="D102">
        <v>45.651699999999998</v>
      </c>
      <c r="E102">
        <v>46.453899999999997</v>
      </c>
      <c r="F102">
        <v>50537.139000000003</v>
      </c>
      <c r="G102">
        <v>14.365</v>
      </c>
    </row>
    <row r="103" spans="1:7" x14ac:dyDescent="0.15">
      <c r="A103" s="141" t="s">
        <v>244</v>
      </c>
      <c r="B103">
        <v>1966.6759999999999</v>
      </c>
      <c r="C103">
        <v>39.781300000000002</v>
      </c>
      <c r="D103">
        <v>43.993899999999996</v>
      </c>
      <c r="E103">
        <v>44.548200000000001</v>
      </c>
      <c r="F103">
        <v>32999.968999999997</v>
      </c>
      <c r="G103">
        <v>12.978999999999999</v>
      </c>
    </row>
    <row r="104" spans="1:7" x14ac:dyDescent="0.15">
      <c r="A104" s="141" t="s">
        <v>245</v>
      </c>
      <c r="B104">
        <v>996.67600000000004</v>
      </c>
      <c r="C104">
        <v>36.602800000000002</v>
      </c>
      <c r="D104">
        <v>42.348500000000001</v>
      </c>
      <c r="E104">
        <v>42.644100000000002</v>
      </c>
      <c r="F104">
        <v>18886.432000000001</v>
      </c>
      <c r="G104">
        <v>10.965999999999999</v>
      </c>
    </row>
    <row r="105" spans="1:7" x14ac:dyDescent="0.15">
      <c r="A105" s="141" t="s">
        <v>126</v>
      </c>
      <c r="B105">
        <v>4193.8559999999998</v>
      </c>
      <c r="C105">
        <v>38.528300000000002</v>
      </c>
      <c r="D105">
        <v>45.814900000000002</v>
      </c>
      <c r="E105">
        <v>46.028599999999997</v>
      </c>
      <c r="F105">
        <v>49638.125999999997</v>
      </c>
      <c r="G105">
        <v>6.49</v>
      </c>
    </row>
    <row r="106" spans="1:7" x14ac:dyDescent="0.15">
      <c r="A106" s="141" t="s">
        <v>127</v>
      </c>
      <c r="B106">
        <v>1776.068</v>
      </c>
      <c r="C106">
        <v>36.929699999999997</v>
      </c>
      <c r="D106">
        <v>44.6404</v>
      </c>
      <c r="E106">
        <v>44.820500000000003</v>
      </c>
      <c r="F106">
        <v>27306.136999999999</v>
      </c>
      <c r="G106">
        <v>5.4029999999999996</v>
      </c>
    </row>
    <row r="107" spans="1:7" x14ac:dyDescent="0.15">
      <c r="A107" s="141" t="s">
        <v>128</v>
      </c>
      <c r="B107">
        <v>819</v>
      </c>
      <c r="C107">
        <v>34.944800000000001</v>
      </c>
      <c r="D107">
        <v>43.135399999999997</v>
      </c>
      <c r="E107">
        <v>43.423299999999998</v>
      </c>
      <c r="F107">
        <v>14890.583000000001</v>
      </c>
      <c r="G107">
        <v>4.8209999999999997</v>
      </c>
    </row>
    <row r="108" spans="1:7" x14ac:dyDescent="0.15">
      <c r="A108" s="141" t="s">
        <v>129</v>
      </c>
      <c r="B108">
        <v>392.02800000000002</v>
      </c>
      <c r="C108">
        <v>32.324300000000001</v>
      </c>
      <c r="D108">
        <v>41.2119</v>
      </c>
      <c r="E108">
        <v>41.773400000000002</v>
      </c>
      <c r="F108">
        <v>7836.8860000000004</v>
      </c>
      <c r="G108">
        <v>4.1369999999999996</v>
      </c>
    </row>
    <row r="109" spans="1:7" x14ac:dyDescent="0.15">
      <c r="A109" s="141" t="s">
        <v>130</v>
      </c>
      <c r="B109">
        <v>2482.9760000000001</v>
      </c>
      <c r="C109">
        <v>40.595799999999997</v>
      </c>
      <c r="D109">
        <v>46.082799999999999</v>
      </c>
      <c r="E109">
        <v>47.178800000000003</v>
      </c>
      <c r="F109">
        <v>38188.834000000003</v>
      </c>
      <c r="G109">
        <v>6.86</v>
      </c>
    </row>
    <row r="110" spans="1:7" x14ac:dyDescent="0.15">
      <c r="A110" s="141" t="s">
        <v>131</v>
      </c>
      <c r="B110">
        <v>1137.32</v>
      </c>
      <c r="C110">
        <v>39.4861</v>
      </c>
      <c r="D110">
        <v>45.508000000000003</v>
      </c>
      <c r="E110">
        <v>45.935899999999997</v>
      </c>
      <c r="F110">
        <v>21204.74</v>
      </c>
      <c r="G110">
        <v>5.8970000000000002</v>
      </c>
    </row>
    <row r="111" spans="1:7" x14ac:dyDescent="0.15">
      <c r="A111" s="141" t="s">
        <v>132</v>
      </c>
      <c r="B111">
        <v>536.70000000000005</v>
      </c>
      <c r="C111">
        <v>37.924500000000002</v>
      </c>
      <c r="D111">
        <v>44.680199999999999</v>
      </c>
      <c r="E111">
        <v>44.283999999999999</v>
      </c>
      <c r="F111">
        <v>11155.387000000001</v>
      </c>
      <c r="G111">
        <v>5.093</v>
      </c>
    </row>
    <row r="112" spans="1:7" x14ac:dyDescent="0.15">
      <c r="A112" s="141" t="s">
        <v>133</v>
      </c>
      <c r="B112">
        <v>242.42</v>
      </c>
      <c r="C112">
        <v>35.817</v>
      </c>
      <c r="D112">
        <v>43.526800000000001</v>
      </c>
      <c r="E112">
        <v>42.436</v>
      </c>
      <c r="F112">
        <v>5687.9620000000004</v>
      </c>
      <c r="G112">
        <v>4.6239999999999997</v>
      </c>
    </row>
    <row r="113" spans="1:7" x14ac:dyDescent="0.15">
      <c r="A113" s="141" t="s">
        <v>134</v>
      </c>
      <c r="B113">
        <v>946.65200000000004</v>
      </c>
      <c r="C113">
        <v>43.477400000000003</v>
      </c>
      <c r="D113">
        <v>47.107599999999998</v>
      </c>
      <c r="E113">
        <v>48.103999999999999</v>
      </c>
      <c r="F113">
        <v>17585.47</v>
      </c>
      <c r="G113">
        <v>4.7750000000000004</v>
      </c>
    </row>
    <row r="114" spans="1:7" x14ac:dyDescent="0.15">
      <c r="A114" s="141" t="s">
        <v>135</v>
      </c>
      <c r="B114">
        <v>516.34799999999996</v>
      </c>
      <c r="C114">
        <v>42.199199999999998</v>
      </c>
      <c r="D114">
        <v>46.2819</v>
      </c>
      <c r="E114">
        <v>47.1143</v>
      </c>
      <c r="F114">
        <v>10303.862999999999</v>
      </c>
      <c r="G114">
        <v>4.5190000000000001</v>
      </c>
    </row>
    <row r="115" spans="1:7" x14ac:dyDescent="0.15">
      <c r="A115" s="141" t="s">
        <v>136</v>
      </c>
      <c r="B115">
        <v>296.13600000000002</v>
      </c>
      <c r="C115">
        <v>40.4435</v>
      </c>
      <c r="D115">
        <v>45.252600000000001</v>
      </c>
      <c r="E115">
        <v>45.7926</v>
      </c>
      <c r="F115">
        <v>5655.5879999999997</v>
      </c>
      <c r="G115">
        <v>4.3140000000000001</v>
      </c>
    </row>
    <row r="116" spans="1:7" x14ac:dyDescent="0.15">
      <c r="A116" s="141" t="s">
        <v>137</v>
      </c>
      <c r="B116">
        <v>164.76</v>
      </c>
      <c r="C116">
        <v>37.884999999999998</v>
      </c>
      <c r="D116">
        <v>43.374699999999997</v>
      </c>
      <c r="E116">
        <v>43.789900000000003</v>
      </c>
      <c r="F116">
        <v>3278.6129999999998</v>
      </c>
      <c r="G116">
        <v>4.3339999999999996</v>
      </c>
    </row>
    <row r="117" spans="1:7" x14ac:dyDescent="0.15">
      <c r="A117" s="141" t="s">
        <v>138</v>
      </c>
      <c r="B117">
        <v>1342.32</v>
      </c>
      <c r="C117">
        <v>42.845799999999997</v>
      </c>
      <c r="D117">
        <v>48.650300000000001</v>
      </c>
      <c r="E117">
        <v>48.4407</v>
      </c>
      <c r="F117">
        <v>20127.066999999999</v>
      </c>
      <c r="G117">
        <v>4.7770000000000001</v>
      </c>
    </row>
    <row r="118" spans="1:7" x14ac:dyDescent="0.15">
      <c r="A118" s="141" t="s">
        <v>139</v>
      </c>
      <c r="B118">
        <v>724.66</v>
      </c>
      <c r="C118">
        <v>41.566800000000001</v>
      </c>
      <c r="D118">
        <v>47.791400000000003</v>
      </c>
      <c r="E118">
        <v>47.308500000000002</v>
      </c>
      <c r="F118">
        <v>11519.694</v>
      </c>
      <c r="G118">
        <v>4.4450000000000003</v>
      </c>
    </row>
    <row r="119" spans="1:7" x14ac:dyDescent="0.15">
      <c r="A119" s="141" t="s">
        <v>140</v>
      </c>
      <c r="B119">
        <v>407.89600000000002</v>
      </c>
      <c r="C119">
        <v>39.685299999999998</v>
      </c>
      <c r="D119">
        <v>46.682600000000001</v>
      </c>
      <c r="E119">
        <v>45.740600000000001</v>
      </c>
      <c r="F119">
        <v>6759.0559999999996</v>
      </c>
      <c r="G119">
        <v>4.4729999999999999</v>
      </c>
    </row>
    <row r="120" spans="1:7" x14ac:dyDescent="0.15">
      <c r="A120" s="141" t="s">
        <v>141</v>
      </c>
      <c r="B120">
        <v>223.84800000000001</v>
      </c>
      <c r="C120">
        <v>36.926600000000001</v>
      </c>
      <c r="D120">
        <v>45.120800000000003</v>
      </c>
      <c r="E120">
        <v>43.463299999999997</v>
      </c>
      <c r="F120">
        <v>4018.88</v>
      </c>
      <c r="G120">
        <v>4.2389999999999999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15">
      <c r="A146" s="141" t="s">
        <v>255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15">
      <c r="A147" s="141" t="s">
        <v>256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15">
      <c r="A148" s="141" t="s">
        <v>257</v>
      </c>
      <c r="B148">
        <v>2536.7919999999999</v>
      </c>
      <c r="C148">
        <v>36.966299999999997</v>
      </c>
      <c r="D148">
        <v>45.148299999999999</v>
      </c>
      <c r="E148">
        <v>42.255899999999997</v>
      </c>
      <c r="F148">
        <v>34617.016000000003</v>
      </c>
      <c r="G148">
        <v>22.117000000000001</v>
      </c>
    </row>
    <row r="149" spans="1:7" x14ac:dyDescent="0.15">
      <c r="A149" s="141" t="s">
        <v>258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15">
      <c r="A150" s="141" t="s">
        <v>259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15">
      <c r="A151" s="141" t="s">
        <v>260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15">
      <c r="A152" s="141" t="s">
        <v>261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15">
      <c r="A153" s="141" t="s">
        <v>262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15">
      <c r="A154" s="141" t="s">
        <v>263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15">
      <c r="A155" s="141" t="s">
        <v>264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15">
      <c r="A156" s="141" t="s">
        <v>265</v>
      </c>
      <c r="B156">
        <v>5897.8320000000003</v>
      </c>
      <c r="C156">
        <v>34.028799999999997</v>
      </c>
      <c r="D156">
        <v>33.946399999999997</v>
      </c>
      <c r="E156">
        <v>36.667400000000001</v>
      </c>
      <c r="F156">
        <v>46182.277000000002</v>
      </c>
      <c r="G156">
        <v>13.002000000000001</v>
      </c>
    </row>
    <row r="157" spans="1:7" x14ac:dyDescent="0.15">
      <c r="A157" s="141" t="s">
        <v>266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15">
      <c r="A158" s="141" t="s">
        <v>267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15">
      <c r="A159" s="141" t="s">
        <v>268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15">
      <c r="A160" s="141" t="s">
        <v>269</v>
      </c>
      <c r="B160">
        <v>2608.96</v>
      </c>
      <c r="C160">
        <v>34.251199999999997</v>
      </c>
      <c r="D160">
        <v>41.680199999999999</v>
      </c>
      <c r="E160">
        <v>39.404299999999999</v>
      </c>
      <c r="F160">
        <v>45367.891000000003</v>
      </c>
      <c r="G160">
        <v>16.922000000000001</v>
      </c>
    </row>
    <row r="161" spans="1:7" x14ac:dyDescent="0.15">
      <c r="A161" s="141" t="s">
        <v>142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15">
      <c r="A162" s="141" t="s">
        <v>143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15">
      <c r="A163" s="141" t="s">
        <v>144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15">
      <c r="A164" s="141" t="s">
        <v>145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15">
      <c r="A165" s="141" t="s">
        <v>146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15">
      <c r="A166" s="141" t="s">
        <v>147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15">
      <c r="A167" s="141" t="s">
        <v>148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15">
      <c r="A168" s="141" t="s">
        <v>149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15">
      <c r="A169" s="141" t="s">
        <v>270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15">
      <c r="A170" s="141" t="s">
        <v>271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15">
      <c r="A171" s="141" t="s">
        <v>272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15">
      <c r="A172" s="141" t="s">
        <v>273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15">
      <c r="A173" s="141" t="s">
        <v>274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15">
      <c r="A174" s="141" t="s">
        <v>275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15">
      <c r="A175" s="141" t="s">
        <v>276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15">
      <c r="A176" s="141" t="s">
        <v>277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15">
      <c r="A177" s="141" t="s">
        <v>150</v>
      </c>
      <c r="B177" s="71">
        <v>0</v>
      </c>
      <c r="C177" s="71">
        <v>0</v>
      </c>
      <c r="D177" s="71">
        <v>0</v>
      </c>
      <c r="E177" s="71">
        <v>0</v>
      </c>
      <c r="F177" s="71">
        <v>0</v>
      </c>
      <c r="G177" s="71">
        <v>0</v>
      </c>
    </row>
    <row r="178" spans="1:7" x14ac:dyDescent="0.15">
      <c r="A178" s="141" t="s">
        <v>151</v>
      </c>
      <c r="B178" s="71">
        <v>0</v>
      </c>
      <c r="C178" s="71">
        <v>0</v>
      </c>
      <c r="D178" s="71">
        <v>0</v>
      </c>
      <c r="E178" s="71">
        <v>0</v>
      </c>
      <c r="F178" s="71">
        <v>0</v>
      </c>
      <c r="G178" s="71">
        <v>0</v>
      </c>
    </row>
    <row r="179" spans="1:7" x14ac:dyDescent="0.15">
      <c r="A179" s="141" t="s">
        <v>152</v>
      </c>
      <c r="B179" s="71">
        <v>0</v>
      </c>
      <c r="C179" s="71">
        <v>0</v>
      </c>
      <c r="D179" s="71">
        <v>0</v>
      </c>
      <c r="E179" s="71">
        <v>0</v>
      </c>
      <c r="F179" s="71">
        <v>0</v>
      </c>
      <c r="G179" s="71">
        <v>0</v>
      </c>
    </row>
    <row r="180" spans="1:7" x14ac:dyDescent="0.15">
      <c r="A180" s="141" t="s">
        <v>153</v>
      </c>
      <c r="B180" s="71">
        <v>276.11040000000003</v>
      </c>
      <c r="C180" s="71">
        <v>30.9069</v>
      </c>
      <c r="D180" s="71">
        <v>40.854100000000003</v>
      </c>
      <c r="E180" s="71">
        <v>41.406500000000001</v>
      </c>
      <c r="F180" s="71">
        <v>31225.391</v>
      </c>
      <c r="G180" s="71">
        <v>7.5819999999999999</v>
      </c>
    </row>
    <row r="181" spans="1:7" x14ac:dyDescent="0.15">
      <c r="A181" s="141" t="s">
        <v>154</v>
      </c>
      <c r="B181" s="71">
        <v>0</v>
      </c>
      <c r="C181" s="71">
        <v>0</v>
      </c>
      <c r="D181" s="71">
        <v>0</v>
      </c>
      <c r="E181" s="71">
        <v>0</v>
      </c>
      <c r="F181" s="71">
        <v>0</v>
      </c>
      <c r="G181" s="71">
        <v>0</v>
      </c>
    </row>
    <row r="182" spans="1:7" x14ac:dyDescent="0.15">
      <c r="A182" s="141" t="s">
        <v>155</v>
      </c>
      <c r="B182" s="71">
        <v>0</v>
      </c>
      <c r="C182" s="71">
        <v>0</v>
      </c>
      <c r="D182" s="71">
        <v>0</v>
      </c>
      <c r="E182" s="71">
        <v>0</v>
      </c>
      <c r="F182" s="71">
        <v>0</v>
      </c>
      <c r="G182" s="71">
        <v>0</v>
      </c>
    </row>
    <row r="183" spans="1:7" x14ac:dyDescent="0.15">
      <c r="A183" s="141" t="s">
        <v>156</v>
      </c>
      <c r="B183" s="71">
        <v>0</v>
      </c>
      <c r="C183" s="71">
        <v>0</v>
      </c>
      <c r="D183" s="71">
        <v>0</v>
      </c>
      <c r="E183" s="71">
        <v>0</v>
      </c>
      <c r="F183" s="71">
        <v>0</v>
      </c>
      <c r="G183" s="71">
        <v>0</v>
      </c>
    </row>
    <row r="184" spans="1:7" x14ac:dyDescent="0.15">
      <c r="A184" s="141" t="s">
        <v>157</v>
      </c>
      <c r="B184" s="71">
        <v>404.94400000000002</v>
      </c>
      <c r="C184" s="71">
        <v>34.697800000000001</v>
      </c>
      <c r="D184" s="71">
        <v>42.001600000000003</v>
      </c>
      <c r="E184" s="71">
        <v>40.640999999999998</v>
      </c>
      <c r="F184" s="71">
        <v>27206.754000000001</v>
      </c>
      <c r="G184" s="71">
        <v>8.86</v>
      </c>
    </row>
    <row r="185" spans="1:7" x14ac:dyDescent="0.15">
      <c r="A185" s="141" t="s">
        <v>158</v>
      </c>
      <c r="B185" s="71">
        <v>0</v>
      </c>
      <c r="C185" s="71">
        <v>0</v>
      </c>
      <c r="D185" s="71">
        <v>0</v>
      </c>
      <c r="E185" s="71">
        <v>0</v>
      </c>
      <c r="F185" s="71">
        <v>0</v>
      </c>
      <c r="G185" s="71">
        <v>0</v>
      </c>
    </row>
    <row r="186" spans="1:7" x14ac:dyDescent="0.15">
      <c r="A186" s="141" t="s">
        <v>159</v>
      </c>
      <c r="B186" s="71">
        <v>0</v>
      </c>
      <c r="C186" s="71">
        <v>0</v>
      </c>
      <c r="D186" s="71">
        <v>0</v>
      </c>
      <c r="E186" s="71">
        <v>0</v>
      </c>
      <c r="F186" s="71">
        <v>0</v>
      </c>
      <c r="G186" s="71">
        <v>0</v>
      </c>
    </row>
    <row r="187" spans="1:7" x14ac:dyDescent="0.15">
      <c r="A187" s="141" t="s">
        <v>160</v>
      </c>
      <c r="B187" s="71">
        <v>265.2432</v>
      </c>
      <c r="C187" s="71">
        <v>39.119199999999999</v>
      </c>
      <c r="D187" s="71">
        <v>44.237200000000001</v>
      </c>
      <c r="E187" s="71">
        <v>44.6875</v>
      </c>
      <c r="F187" s="71">
        <v>20716.407999999999</v>
      </c>
      <c r="G187" s="71">
        <v>5.891</v>
      </c>
    </row>
    <row r="188" spans="1:7" x14ac:dyDescent="0.15">
      <c r="A188" s="141" t="s">
        <v>161</v>
      </c>
      <c r="B188" s="71">
        <v>143.2448</v>
      </c>
      <c r="C188" s="71">
        <v>36.344200000000001</v>
      </c>
      <c r="D188" s="71">
        <v>42.581400000000002</v>
      </c>
      <c r="E188" s="71">
        <v>42.939500000000002</v>
      </c>
      <c r="F188" s="71">
        <v>12461.21</v>
      </c>
      <c r="G188" s="71">
        <v>5.3920000000000003</v>
      </c>
    </row>
    <row r="189" spans="1:7" x14ac:dyDescent="0.15">
      <c r="A189" s="141" t="s">
        <v>162</v>
      </c>
      <c r="B189" s="71">
        <v>0</v>
      </c>
      <c r="C189" s="71">
        <v>0</v>
      </c>
      <c r="D189" s="71">
        <v>0</v>
      </c>
      <c r="E189" s="71">
        <v>0</v>
      </c>
      <c r="F189" s="71">
        <v>0</v>
      </c>
      <c r="G189" s="71">
        <v>0</v>
      </c>
    </row>
    <row r="190" spans="1:7" x14ac:dyDescent="0.15">
      <c r="A190" s="141" t="s">
        <v>163</v>
      </c>
      <c r="B190" s="71">
        <v>0</v>
      </c>
      <c r="C190" s="71">
        <v>0</v>
      </c>
      <c r="D190" s="71">
        <v>0</v>
      </c>
      <c r="E190" s="71">
        <v>0</v>
      </c>
      <c r="F190" s="71">
        <v>0</v>
      </c>
      <c r="G190" s="71">
        <v>0</v>
      </c>
    </row>
    <row r="191" spans="1:7" x14ac:dyDescent="0.15">
      <c r="A191" s="141" t="s">
        <v>164</v>
      </c>
      <c r="B191" s="71">
        <v>354.39519999999999</v>
      </c>
      <c r="C191" s="71">
        <v>38.618200000000002</v>
      </c>
      <c r="D191" s="71">
        <v>46.027799999999999</v>
      </c>
      <c r="E191" s="71">
        <v>44.580100000000002</v>
      </c>
      <c r="F191" s="71">
        <v>22485.276999999998</v>
      </c>
      <c r="G191" s="71">
        <v>6.2880000000000003</v>
      </c>
    </row>
    <row r="192" spans="1:7" x14ac:dyDescent="0.15">
      <c r="A192" s="141" t="s">
        <v>165</v>
      </c>
      <c r="B192" s="71">
        <v>193.21119999999999</v>
      </c>
      <c r="C192" s="71">
        <v>35.569400000000002</v>
      </c>
      <c r="D192" s="71">
        <v>44.599899999999998</v>
      </c>
      <c r="E192" s="71">
        <v>42.285400000000003</v>
      </c>
      <c r="F192" s="71">
        <v>14292.877</v>
      </c>
      <c r="G192" s="71">
        <v>5.7430000000000003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2020-07-03T05:35:06Z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